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0" windowHeight="0" tabRatio="500"/>
  </bookViews>
  <sheets>
    <sheet name="lost_eggs" sheetId="1" r:id="rId4"/>
  </sheets>
  <definedNames>
    <definedName name="_xlnm._FilterDatabase" localSheetId="0" hidden="1">lost_eggs!$A$1:$AA$193</definedName>
  </definedNames>
  <calcPr calcOnSave="0"/>
  <extLst>
    <ext uri="smNativeData">
      <pm:revision xmlns:pm="smNativeData" day="1749180287" val="1068" rev="124" rev64="64" revOS="3" revMin="124" revMax="0"/>
      <pm:docPrefs xmlns:pm="smNativeData" id="1749180287" fixedDigits="0" showNotice="1" showFrameBounds="1" autoChart="1" recalcOnPrint="1" recalcOnCopy="1" compatTextArt="1" tab="567" useDefinedPrintRange="1" printArea="currentSheet"/>
      <pm:compatibility xmlns:pm="smNativeData" id="1749180287" overlapCells="1"/>
      <pm:defCurrency xmlns:pm="smNativeData" id="1749180287"/>
    </ext>
  </extLst>
</workbook>
</file>

<file path=xl/sharedStrings.xml><?xml version="1.0" encoding="utf-8"?>
<sst xmlns="http://schemas.openxmlformats.org/spreadsheetml/2006/main" count="1468" uniqueCount="133">
  <si>
    <t>Day</t>
  </si>
  <si>
    <t>Date</t>
  </si>
  <si>
    <t>Temperature</t>
  </si>
  <si>
    <t>Cross</t>
  </si>
  <si>
    <t>Total animals</t>
  </si>
  <si>
    <t>Amplexuses</t>
  </si>
  <si>
    <t>SUM females w/eggs</t>
  </si>
  <si>
    <t>females w/eggs</t>
  </si>
  <si>
    <t>females w/orange eggs</t>
  </si>
  <si>
    <t>Exuvia</t>
  </si>
  <si>
    <t>Juveniles</t>
  </si>
  <si>
    <t>Comments</t>
  </si>
  <si>
    <t>Fallen.out.eggs</t>
  </si>
  <si>
    <t>females</t>
  </si>
  <si>
    <t>males</t>
  </si>
  <si>
    <t>eggs: PI found?</t>
  </si>
  <si>
    <t>Unstained trans / macro</t>
  </si>
  <si>
    <t>Unstained GFP</t>
  </si>
  <si>
    <t>Unstained RFP</t>
  </si>
  <si>
    <t>Unstained DAPI</t>
  </si>
  <si>
    <t>Stained trans</t>
  </si>
  <si>
    <t>Stained GFP</t>
  </si>
  <si>
    <t>Stained RFP</t>
  </si>
  <si>
    <t># nuclei</t>
  </si>
  <si>
    <t>Stained DAPI</t>
  </si>
  <si>
    <t>Stage McMahon &amp; Pascoe</t>
  </si>
  <si>
    <t>Stage Browne et al.</t>
  </si>
  <si>
    <t>S7_passed</t>
  </si>
  <si>
    <t>WxW</t>
  </si>
  <si>
    <t>2 eggs at the bottom</t>
  </si>
  <si>
    <t>NA</t>
  </si>
  <si>
    <t>yes</t>
  </si>
  <si>
    <t>"raspberry"</t>
  </si>
  <si>
    <t>granules</t>
  </si>
  <si>
    <t>nothing</t>
  </si>
  <si>
    <t>soccerball</t>
  </si>
  <si>
    <t>S2</t>
  </si>
  <si>
    <t>S06</t>
  </si>
  <si>
    <t>no</t>
  </si>
  <si>
    <t>smooth</t>
  </si>
  <si>
    <t>ND</t>
  </si>
  <si>
    <t>ExS</t>
  </si>
  <si>
    <t>&gt;20 eggs at the bottom. 3 photos</t>
  </si>
  <si>
    <t>"hyaline membrane"</t>
  </si>
  <si>
    <t>Large cells with stained borders (~8 cells?)</t>
  </si>
  <si>
    <t>S04</t>
  </si>
  <si>
    <t>hyaline membrane</t>
  </si>
  <si>
    <t>1 egg at the bottom</t>
  </si>
  <si>
    <t>yes (didn't find unstained)</t>
  </si>
  <si>
    <t>WxS</t>
  </si>
  <si>
    <t>3 eggs at the bottom</t>
  </si>
  <si>
    <t>envelope + "pores"</t>
  </si>
  <si>
    <t>SxW</t>
  </si>
  <si>
    <r>
      <t xml:space="preserve">4 eggs at the bottom. </t>
    </r>
    <r>
      <rPr>
        <rFont val="Arial"/>
        <charset val="0"/>
        <family val="1"/>
        <sz val="10"/>
        <b/>
        <i val="0"/>
        <extLst>
          <ext uri="smNativeData">
            <pm:charSpec xmlns:pm="smNativeData" id="1749180287">
              <pm:latin face="Arial" sz="200" weight="bold" i="0"/>
              <pm:cs/>
              <pm:ea/>
            </pm:charSpec>
          </ext>
        </extLst>
      </rPr>
      <t>Good photos, can make a panoram</t>
    </r>
  </si>
  <si>
    <t>small dots</t>
  </si>
  <si>
    <t>SxS</t>
  </si>
  <si>
    <t>???</t>
  </si>
  <si>
    <t>envelope</t>
  </si>
  <si>
    <t>mold</t>
  </si>
  <si>
    <t>homogenous fluorescence</t>
  </si>
  <si>
    <t>S0</t>
  </si>
  <si>
    <t>12 eggs at the bottom</t>
  </si>
  <si>
    <t>cap</t>
  </si>
  <si>
    <t>ExE</t>
  </si>
  <si>
    <t>membrane</t>
  </si>
  <si>
    <t>1 egg at the bottom. Very bright in GFP. Maybe S7?</t>
  </si>
  <si>
    <t>soccerball, maybe rosette</t>
  </si>
  <si>
    <t>S07</t>
  </si>
  <si>
    <t>1 egg at the bottom. Very cute rosette</t>
  </si>
  <si>
    <t>soccerball to rosette</t>
  </si>
  <si>
    <t>1 egg at the bottom; looks "flat"</t>
  </si>
  <si>
    <t>very faint diffuse autofluorescence</t>
  </si>
  <si>
    <t>soccerball + dorsal organ</t>
  </si>
  <si>
    <t>soccerball with migration</t>
  </si>
  <si>
    <t>WxE</t>
  </si>
  <si>
    <t>very faint diffuse fluorescence</t>
  </si>
  <si>
    <t>granules (very faint)</t>
  </si>
  <si>
    <t>5 eggs at the bottom. The one with dorsal organ looks really good</t>
  </si>
  <si>
    <t>multiple cell clusters. Like S9???</t>
  </si>
  <si>
    <t>S09</t>
  </si>
  <si>
    <t>nuclei at one side</t>
  </si>
  <si>
    <t>5 eggs at the bottom</t>
  </si>
  <si>
    <t>soccerball but strange...</t>
  </si>
  <si>
    <t>mold!</t>
  </si>
  <si>
    <t>10 eggs at the bottom</t>
  </si>
  <si>
    <t>small dots, not like nuclei</t>
  </si>
  <si>
    <t>1 egg at the bottom. It exploded</t>
  </si>
  <si>
    <t>small dots, soccerball-like</t>
  </si>
  <si>
    <t>24 eggs (22 black + 2 brown)</t>
  </si>
  <si>
    <t>????</t>
  </si>
  <si>
    <t>3 eggs</t>
  </si>
  <si>
    <t>fluorescent + several nuclei</t>
  </si>
  <si>
    <t>faint diffuse fluorescence</t>
  </si>
  <si>
    <t>only envelope</t>
  </si>
  <si>
    <t>very strange soccerball + dorsal organ</t>
  </si>
  <si>
    <t>photo!!</t>
  </si>
  <si>
    <t>limb buds!</t>
  </si>
  <si>
    <t>S22</t>
  </si>
  <si>
    <t>soccerball-like but strange</t>
  </si>
  <si>
    <t>limbs!</t>
  </si>
  <si>
    <t>bright envelope</t>
  </si>
  <si>
    <t>limbs (but better in GFP)</t>
  </si>
  <si>
    <t>S19</t>
  </si>
  <si>
    <t>diffuse</t>
  </si>
  <si>
    <t>limbs</t>
  </si>
  <si>
    <t>S20</t>
  </si>
  <si>
    <t>a few nuclei</t>
  </si>
  <si>
    <t>midgut anlage?</t>
  </si>
  <si>
    <t>S18</t>
  </si>
  <si>
    <t>4 eggs at the bottom</t>
  </si>
  <si>
    <t>limbs???</t>
  </si>
  <si>
    <t>homogenous fluorescence (very bright!)</t>
  </si>
  <si>
    <t>1 egg with a comma-shaped embryo</t>
  </si>
  <si>
    <t>comma-shaped embryo with an eye!!</t>
  </si>
  <si>
    <t>comma-shaped embryo with an eye</t>
  </si>
  <si>
    <t>comma-shaped</t>
  </si>
  <si>
    <t>S27</t>
  </si>
  <si>
    <t>eggs + juveniles: see photos</t>
  </si>
  <si>
    <t>yes but only unstained</t>
  </si>
  <si>
    <t>yes Olympus</t>
  </si>
  <si>
    <t>almost developed</t>
  </si>
  <si>
    <t>eye?</t>
  </si>
  <si>
    <t>autofluorescence</t>
  </si>
  <si>
    <t>yes but only unstained (PI autofluorescence, didn't stain)</t>
  </si>
  <si>
    <t>two orange eggs; should be CELENA photos</t>
  </si>
  <si>
    <t>photos found but labels don't match</t>
  </si>
  <si>
    <t>1 egg / juvenile</t>
  </si>
  <si>
    <t>olympus</t>
  </si>
  <si>
    <t>fully developed</t>
  </si>
  <si>
    <t>1 dead</t>
  </si>
  <si>
    <t>comma-like embryo</t>
  </si>
  <si>
    <t>yellow eggs. No photos, just notes</t>
  </si>
  <si>
    <t>didn't dye (already orange)</t>
  </si>
</sst>
</file>

<file path=xl/styles.xml><?xml version="1.0" encoding="utf-8"?>
<styleSheet xmlns="http://schemas.openxmlformats.org/spreadsheetml/2006/main">
  <numFmts count="10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" formatCode="0"/>
    <numFmt numFmtId="164" formatCode="YYYY\-MM\-DD"/>
  </numFmts>
  <fonts count="14">
    <font>
      <name val="Arial"/>
      <family val="1"/>
      <color rgb="FF000000"/>
      <sz val="10"/>
      <extLst>
        <ext uri="smNativeData">
          <pm:charSpec xmlns:pm="smNativeData" id="174918028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4918028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49180287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49180287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49180287" ulstyle="none" kern="1">
            <pm:latin face="Arial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Arial"/>
      <family val="1"/>
      <b/>
      <i/>
      <color rgb="FF000000"/>
      <sz val="10"/>
      <extLst>
        <ext uri="smNativeData">
          <pm:charSpec xmlns:pm="smNativeData" id="1749180287" ulstyle="none" kern="1">
            <pm:latin face="Arial" sz="200" lang="default" weight="bold" i="1"/>
            <pm:cs face="Basic Roman" sz="200" lang="default" weight="bold" i="1"/>
            <pm:ea face="Basic Roman" sz="200" lang="default" weight="bold" i="1"/>
          </pm:charSpec>
        </ext>
      </extLst>
    </font>
    <font>
      <name val="Arial"/>
      <family val="1"/>
      <color rgb="FF666666"/>
      <sz val="10"/>
      <extLst>
        <ext uri="smNativeData">
          <pm:charSpec xmlns:pm="smNativeData" id="1749180287" fgClr="66666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1"/>
      <color rgb="FF007F00"/>
      <sz val="10"/>
      <extLst>
        <ext uri="smNativeData">
          <pm:charSpec xmlns:pm="smNativeData" id="1749180287" fgClr="007F0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1"/>
      <color rgb="FFFF0000"/>
      <sz val="10"/>
      <extLst>
        <ext uri="smNativeData">
          <pm:charSpec xmlns:pm="smNativeData" id="1749180287" fgClr="FF000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1"/>
      <color rgb="FF00007F"/>
      <sz val="10"/>
      <extLst>
        <ext uri="smNativeData">
          <pm:charSpec xmlns:pm="smNativeData" id="1749180287" fgClr="00007F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1"/>
      <color rgb="FF000000"/>
      <sz val="9"/>
      <extLst>
        <ext uri="smNativeData">
          <pm:charSpec xmlns:pm="smNativeData" id="1749180287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1"/>
      <b/>
      <color rgb="FF000000"/>
      <sz val="9"/>
      <extLst>
        <ext uri="smNativeData">
          <pm:charSpec xmlns:pm="smNativeData" id="1749180287" ulstyle="none" kern="1">
            <pm:latin face="Arial" sz="18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1"/>
      <color rgb="FF7F7F7F"/>
      <sz val="10"/>
      <extLst>
        <ext uri="smNativeData">
          <pm:charSpec xmlns:pm="smNativeData" id="1749180287" fgClr="7F7F7F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1"/>
      <i/>
      <color rgb="FF000000"/>
      <sz val="10"/>
      <extLst>
        <ext uri="smNativeData">
          <pm:charSpec xmlns:pm="smNativeData" id="1749180287" ulstyle="none" kern="1">
            <pm:latin face="Arial" sz="200" lang="default" i="1"/>
            <pm:cs face="Basic Roman" sz="200" lang="default" weight="bold" i="1"/>
            <pm:ea face="Basic Roman" sz="200" lang="default" weight="bold" i="1"/>
          </pm:charSpec>
        </ext>
      </extLst>
    </font>
  </fonts>
  <fills count="4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E0"/>
        <bgColor rgb="FFFFFFFF"/>
        <extLst>
          <ext uri="smNativeData">
            <pm:shade xmlns:pm="smNativeData" id="1749180287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9180287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9180287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9180287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9180287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9180287" type="1" fgLvl="12" fgClr="00FFFF00" bgLvl="88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49180287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49180287" type="1" fgLvl="100" fgClr="00FFFFFF" bgLvl="0" bgClr="00000000"/>
          </ext>
        </extLst>
      </patternFill>
    </fill>
    <fill>
      <patternFill patternType="solid">
        <fgColor rgb="FFFFE0FF"/>
        <bgColor rgb="FFFFFFFF"/>
        <extLst>
          <ext uri="smNativeData">
            <pm:shade xmlns:pm="smNativeData" id="1749180287" type="1" fgLvl="100" fgClr="00FFE0FF" bgLvl="0" bgClr="00FFFFFF"/>
          </ext>
        </extLst>
      </patternFill>
    </fill>
    <fill>
      <patternFill patternType="solid">
        <fgColor rgb="FFFFE0FF"/>
        <bgColor rgb="FFFFFFFF"/>
        <extLst>
          <ext uri="smNativeData">
            <pm:shade xmlns:pm="smNativeData" id="1749180287" type="1" fgLvl="100" fgClr="00FFE0FF" bgLvl="0" bgClr="00FFFFFF"/>
          </ext>
        </extLst>
      </patternFill>
    </fill>
    <fill>
      <patternFill patternType="solid">
        <fgColor rgb="FFFFE0FF"/>
        <bgColor rgb="FFFFFFFF"/>
        <extLst>
          <ext uri="smNativeData">
            <pm:shade xmlns:pm="smNativeData" id="1749180287" type="1" fgLvl="100" fgClr="00FFE0FF" bgLvl="0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49180287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49180287" type="1" fgLvl="12" fgClr="0000FFFF" bgLvl="88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49180287" type="1" fgLvl="100" fgClr="00FFFFFF" bgLvl="100" bgClr="00000000"/>
          </ext>
        </extLst>
      </patternFill>
    </fill>
    <fill>
      <patternFill patternType="solid">
        <fgColor rgb="FFE6E6E6"/>
        <bgColor rgb="FFFFFFFF"/>
        <extLst>
          <ext uri="smNativeData">
            <pm:shade xmlns:pm="smNativeData" id="1749180287" type="1" fgLvl="100" fgClr="00E6E6E6" bgLvl="0" bgClr="00FFFFFF"/>
          </ext>
        </extLst>
      </patternFill>
    </fill>
    <fill>
      <patternFill patternType="solid">
        <fgColor rgb="FFE6E6E6"/>
        <bgColor rgb="FFFFFFFF"/>
        <extLst>
          <ext uri="smNativeData">
            <pm:shade xmlns:pm="smNativeData" id="1749180287" type="1" fgLvl="100" fgClr="00E6E6E6" bgLvl="0" bgClr="00FFFFFF"/>
          </ext>
        </extLst>
      </patternFill>
    </fill>
    <fill>
      <patternFill patternType="solid">
        <fgColor rgb="FFE6E6E6"/>
        <bgColor rgb="FFFFFFFF"/>
        <extLst>
          <ext uri="smNativeData">
            <pm:shade xmlns:pm="smNativeData" id="1749180287" type="1" fgLvl="100" fgClr="00E6E6E6" bgLvl="0" bgClr="00FFFFFF"/>
          </ext>
        </extLst>
      </patternFill>
    </fill>
    <fill>
      <patternFill patternType="solid">
        <fgColor rgb="FFE6E6E6"/>
        <bgColor rgb="FFFFFFFF"/>
        <extLst>
          <ext uri="smNativeData">
            <pm:shade xmlns:pm="smNativeData" id="1749180287" type="1" fgLvl="100" fgClr="00E6E6E6" bgLvl="0" bgClr="00FFFFFF"/>
          </ext>
        </extLst>
      </patternFill>
    </fill>
    <fill>
      <patternFill patternType="solid">
        <fgColor rgb="FFE6E6E6"/>
        <bgColor rgb="FFFFFFFF"/>
        <extLst>
          <ext uri="smNativeData">
            <pm:shade xmlns:pm="smNativeData" id="1749180287" type="1" fgLvl="100" fgClr="00E6E6E6" bgLvl="0" bgClr="00FFFFFF"/>
          </ext>
        </extLst>
      </patternFill>
    </fill>
    <fill>
      <patternFill patternType="solid">
        <fgColor rgb="FFE6E6E6"/>
        <bgColor rgb="FFFFFFFF"/>
        <extLst>
          <ext uri="smNativeData">
            <pm:shade xmlns:pm="smNativeData" id="1749180287" type="1" fgLvl="100" fgClr="00E6E6E6" bgLvl="0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9180287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9180287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9180287" type="1" fgLvl="12" fgClr="00FFFF00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49180287" type="1" fgLvl="12" fgClr="0000FFFF" bgLvl="88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49180287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49180287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49180287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49180287" type="1" fgLvl="100" fgClr="00FFFFFF" bgLvl="0" bgClr="00000000"/>
          </ext>
        </extLst>
      </patternFill>
    </fill>
  </fills>
  <borders count="3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9180287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49180287">
            <pm:line position="bottom" type="2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9180287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9180287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/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/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9180287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9180287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9180287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9180287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9180287"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31">
    <xf numFmtId="0" fontId="0" fillId="0" borderId="0" xfId="0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/>
    <xf numFmtId="16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1" xfId="0" applyFont="1" applyFill="1" applyBorder="1"/>
    <xf numFmtId="1" fontId="3" fillId="0" borderId="2" xfId="0" applyNumberFormat="1" applyFont="1" applyFill="1" applyBorder="1"/>
    <xf numFmtId="164" fontId="3" fillId="0" borderId="3" xfId="0" applyNumberFormat="1" applyFont="1" applyFill="1" applyBorder="1"/>
    <xf numFmtId="0" fontId="0" fillId="0" borderId="3" xfId="0" applyFill="1" applyBorder="1"/>
    <xf numFmtId="0" fontId="3" fillId="0" borderId="3" xfId="0" applyFont="1" applyFill="1" applyBorder="1" applyAlignment="1">
      <alignment horizontal="right"/>
    </xf>
    <xf numFmtId="0" fontId="0" fillId="0" borderId="4" xfId="0" applyFill="1" applyBorder="1"/>
    <xf numFmtId="1" fontId="3" fillId="0" borderId="5" xfId="0" applyNumberFormat="1" applyFont="1" applyFill="1" applyBorder="1"/>
    <xf numFmtId="0" fontId="0" fillId="0" borderId="6" xfId="0" applyFill="1" applyBorder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0" fillId="0" borderId="3" xfId="0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10" fillId="0" borderId="3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6" fillId="0" borderId="0" xfId="0" applyFont="1"/>
    <xf numFmtId="0" fontId="6" fillId="0" borderId="6" xfId="0" applyFont="1" applyFill="1" applyBorder="1"/>
    <xf numFmtId="1" fontId="3" fillId="0" borderId="8" xfId="0" applyNumberFormat="1" applyFont="1" applyFill="1" applyBorder="1"/>
    <xf numFmtId="164" fontId="3" fillId="0" borderId="1" xfId="0" applyNumberFormat="1" applyFont="1" applyFill="1" applyBorder="1"/>
    <xf numFmtId="0" fontId="0" fillId="0" borderId="1" xfId="0" applyFill="1" applyBorder="1"/>
    <xf numFmtId="0" fontId="0" fillId="0" borderId="9" xfId="0" applyFill="1" applyBorder="1"/>
    <xf numFmtId="1" fontId="3" fillId="11" borderId="10" xfId="0" applyNumberFormat="1" applyFont="1" applyFill="1" applyBorder="1"/>
    <xf numFmtId="164" fontId="3" fillId="12" borderId="11" xfId="0" applyNumberFormat="1" applyFont="1" applyFill="1" applyBorder="1"/>
    <xf numFmtId="0" fontId="0" fillId="12" borderId="11" xfId="0" applyFill="1" applyBorder="1"/>
    <xf numFmtId="0" fontId="3" fillId="12" borderId="11" xfId="0" applyFont="1" applyFill="1" applyBorder="1" applyAlignment="1">
      <alignment horizontal="right"/>
    </xf>
    <xf numFmtId="1" fontId="3" fillId="13" borderId="12" xfId="0" applyNumberFormat="1" applyFont="1" applyFill="1" applyBorder="1"/>
    <xf numFmtId="164" fontId="3" fillId="14" borderId="13" xfId="0" applyNumberFormat="1" applyFont="1" applyFill="1"/>
    <xf numFmtId="0" fontId="0" fillId="14" borderId="13" xfId="0" applyFill="1"/>
    <xf numFmtId="0" fontId="3" fillId="14" borderId="13" xfId="0" applyFont="1" applyFill="1" applyAlignment="1">
      <alignment horizontal="right"/>
    </xf>
    <xf numFmtId="0" fontId="0" fillId="15" borderId="14" xfId="0" applyFill="1" applyBorder="1"/>
    <xf numFmtId="0" fontId="0" fillId="16" borderId="15" xfId="0" applyFill="1" applyBorder="1"/>
    <xf numFmtId="0" fontId="2" fillId="15" borderId="14" xfId="0" applyFont="1" applyFill="1" applyBorder="1"/>
    <xf numFmtId="0" fontId="2" fillId="16" borderId="15" xfId="0" applyFont="1" applyFill="1" applyBorder="1"/>
    <xf numFmtId="0" fontId="12" fillId="12" borderId="11" xfId="0" applyFont="1" applyFill="1" applyBorder="1"/>
    <xf numFmtId="0" fontId="12" fillId="14" borderId="13" xfId="0" applyFont="1" applyFill="1"/>
    <xf numFmtId="0" fontId="4" fillId="0" borderId="3" xfId="0" applyFont="1" applyFill="1" applyBorder="1"/>
    <xf numFmtId="0" fontId="4" fillId="0" borderId="1" xfId="0" applyFont="1" applyFill="1" applyBorder="1"/>
    <xf numFmtId="0" fontId="0" fillId="12" borderId="11" xfId="0" applyFill="1" applyBorder="1" applyAlignment="1">
      <alignment vertical="center" wrapText="1"/>
    </xf>
    <xf numFmtId="0" fontId="0" fillId="14" borderId="13" xfId="0" applyFill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6" xfId="0" applyFont="1" applyFill="1" applyBorder="1"/>
    <xf numFmtId="0" fontId="4" fillId="14" borderId="13" xfId="0" applyFont="1" applyFill="1"/>
    <xf numFmtId="0" fontId="13" fillId="0" borderId="0" xfId="0" applyFont="1" applyAlignment="1">
      <alignment vertical="center" wrapText="1"/>
    </xf>
    <xf numFmtId="0" fontId="3" fillId="0" borderId="16" xfId="0" applyFont="1" applyFill="1" applyBorder="1"/>
    <xf numFmtId="0" fontId="0" fillId="18" borderId="17" xfId="0" applyFill="1" applyBorder="1"/>
    <xf numFmtId="0" fontId="3" fillId="19" borderId="18" xfId="0" applyFont="1" applyFill="1" applyBorder="1"/>
    <xf numFmtId="0" fontId="5" fillId="0" borderId="16" xfId="0" applyFont="1" applyFill="1" applyBorder="1"/>
    <xf numFmtId="1" fontId="5" fillId="0" borderId="5" xfId="0" applyNumberFormat="1" applyFont="1" applyFill="1" applyBorder="1"/>
    <xf numFmtId="0" fontId="3" fillId="0" borderId="3" xfId="0" applyFont="1" applyFill="1" applyBorder="1"/>
    <xf numFmtId="1" fontId="3" fillId="20" borderId="19" xfId="0" applyNumberFormat="1" applyFont="1" applyFill="1" applyBorder="1"/>
    <xf numFmtId="164" fontId="3" fillId="21" borderId="20" xfId="0" applyNumberFormat="1" applyFont="1" applyFill="1" applyBorder="1"/>
    <xf numFmtId="0" fontId="0" fillId="21" borderId="20" xfId="0" applyFill="1" applyBorder="1"/>
    <xf numFmtId="0" fontId="3" fillId="21" borderId="20" xfId="0" applyFont="1" applyFill="1" applyBorder="1" applyAlignment="1">
      <alignment horizontal="right"/>
    </xf>
    <xf numFmtId="0" fontId="0" fillId="21" borderId="20" xfId="0" applyFill="1" applyBorder="1" applyAlignment="1">
      <alignment vertical="center" wrapText="1"/>
    </xf>
    <xf numFmtId="0" fontId="4" fillId="21" borderId="20" xfId="0" applyFont="1" applyFill="1" applyBorder="1"/>
    <xf numFmtId="0" fontId="2" fillId="22" borderId="21" xfId="0" applyFont="1" applyFill="1" applyBorder="1"/>
    <xf numFmtId="1" fontId="3" fillId="23" borderId="22" xfId="0" applyNumberFormat="1" applyFont="1" applyFill="1" applyBorder="1"/>
    <xf numFmtId="164" fontId="3" fillId="24" borderId="23" xfId="0" applyNumberFormat="1" applyFont="1" applyFill="1" applyBorder="1"/>
    <xf numFmtId="0" fontId="0" fillId="24" borderId="23" xfId="0" applyFill="1" applyBorder="1"/>
    <xf numFmtId="0" fontId="3" fillId="24" borderId="23" xfId="0" applyFont="1" applyFill="1" applyBorder="1" applyAlignment="1">
      <alignment horizontal="right"/>
    </xf>
    <xf numFmtId="0" fontId="0" fillId="24" borderId="23" xfId="0" applyFill="1" applyBorder="1" applyAlignment="1">
      <alignment vertical="center" wrapText="1"/>
    </xf>
    <xf numFmtId="0" fontId="4" fillId="24" borderId="23" xfId="0" applyFont="1" applyFill="1" applyBorder="1"/>
    <xf numFmtId="0" fontId="0" fillId="25" borderId="24" xfId="0" applyFill="1"/>
    <xf numFmtId="1" fontId="3" fillId="26" borderId="25" xfId="0" applyNumberFormat="1" applyFont="1" applyFill="1" applyBorder="1"/>
    <xf numFmtId="164" fontId="3" fillId="27" borderId="26" xfId="0" applyNumberFormat="1" applyFont="1" applyFill="1" applyBorder="1"/>
    <xf numFmtId="0" fontId="0" fillId="27" borderId="26" xfId="0" applyFill="1" applyBorder="1"/>
    <xf numFmtId="0" fontId="0" fillId="27" borderId="26" xfId="0" applyFill="1" applyBorder="1" applyAlignment="1">
      <alignment vertical="center" wrapText="1"/>
    </xf>
    <xf numFmtId="0" fontId="4" fillId="27" borderId="26" xfId="0" applyFont="1" applyFill="1" applyBorder="1"/>
    <xf numFmtId="0" fontId="12" fillId="27" borderId="26" xfId="0" applyFont="1" applyFill="1" applyBorder="1"/>
    <xf numFmtId="0" fontId="2" fillId="28" borderId="27" xfId="0" applyFont="1" applyFill="1" applyBorder="1"/>
    <xf numFmtId="1" fontId="3" fillId="29" borderId="28" xfId="0" applyNumberFormat="1" applyFont="1" applyFill="1" applyBorder="1"/>
    <xf numFmtId="164" fontId="3" fillId="30" borderId="29" xfId="0" applyNumberFormat="1" applyFont="1" applyFill="1"/>
    <xf numFmtId="0" fontId="0" fillId="30" borderId="29" xfId="0" applyFill="1"/>
    <xf numFmtId="0" fontId="0" fillId="30" borderId="29" xfId="0" applyFill="1" applyAlignment="1">
      <alignment vertical="center" wrapText="1"/>
    </xf>
    <xf numFmtId="0" fontId="4" fillId="30" borderId="29" xfId="0" applyFont="1" applyFill="1"/>
    <xf numFmtId="0" fontId="12" fillId="30" borderId="29" xfId="0" applyFont="1" applyFill="1"/>
    <xf numFmtId="0" fontId="2" fillId="31" borderId="30" xfId="0" applyFont="1" applyFill="1" applyBorder="1"/>
    <xf numFmtId="0" fontId="4" fillId="12" borderId="11" xfId="0" applyFont="1" applyFill="1" applyBorder="1"/>
    <xf numFmtId="1" fontId="3" fillId="32" borderId="31" xfId="0" applyNumberFormat="1" applyFont="1" applyFill="1" applyBorder="1"/>
    <xf numFmtId="164" fontId="3" fillId="33" borderId="32" xfId="0" applyNumberFormat="1" applyFont="1" applyFill="1" applyBorder="1"/>
    <xf numFmtId="0" fontId="0" fillId="33" borderId="32" xfId="0" applyFill="1" applyBorder="1"/>
    <xf numFmtId="0" fontId="3" fillId="33" borderId="32" xfId="0" applyFont="1" applyFill="1" applyBorder="1" applyAlignment="1">
      <alignment horizontal="right"/>
    </xf>
    <xf numFmtId="0" fontId="0" fillId="33" borderId="32" xfId="0" applyFill="1" applyBorder="1" applyAlignment="1">
      <alignment vertical="center" wrapText="1"/>
    </xf>
    <xf numFmtId="0" fontId="4" fillId="33" borderId="32" xfId="0" applyFont="1" applyFill="1" applyBorder="1"/>
    <xf numFmtId="0" fontId="2" fillId="34" borderId="33" xfId="0" applyFont="1" applyFill="1" applyBorder="1"/>
    <xf numFmtId="0" fontId="2" fillId="0" borderId="4" xfId="0" applyFont="1" applyFill="1" applyBorder="1"/>
    <xf numFmtId="0" fontId="2" fillId="0" borderId="9" xfId="0" applyFont="1" applyFill="1" applyBorder="1"/>
    <xf numFmtId="0" fontId="3" fillId="27" borderId="26" xfId="0" applyFont="1" applyFill="1" applyBorder="1" applyAlignment="1">
      <alignment horizontal="right"/>
    </xf>
    <xf numFmtId="0" fontId="0" fillId="28" borderId="27" xfId="0" applyFill="1" applyBorder="1"/>
    <xf numFmtId="0" fontId="2" fillId="35" borderId="34" xfId="0" applyFont="1" applyFill="1" applyBorder="1"/>
    <xf numFmtId="1" fontId="5" fillId="0" borderId="2" xfId="0" applyNumberFormat="1" applyFont="1" applyFill="1" applyBorder="1"/>
    <xf numFmtId="164" fontId="5" fillId="0" borderId="3" xfId="0" applyNumberFormat="1" applyFont="1" applyFill="1" applyBorder="1"/>
    <xf numFmtId="0" fontId="5" fillId="0" borderId="3" xfId="0" applyFont="1" applyFill="1" applyBorder="1"/>
    <xf numFmtId="0" fontId="5" fillId="0" borderId="3" xfId="0" applyFont="1" applyFill="1" applyBorder="1" applyAlignment="1">
      <alignment horizontal="right"/>
    </xf>
    <xf numFmtId="0" fontId="5" fillId="0" borderId="3" xfId="0" applyFont="1" applyFill="1" applyBorder="1" applyAlignment="1">
      <alignment vertical="center" wrapText="1"/>
    </xf>
    <xf numFmtId="1" fontId="5" fillId="0" borderId="8" xfId="0" applyNumberFormat="1" applyFont="1" applyFill="1" applyBorder="1"/>
    <xf numFmtId="164" fontId="5" fillId="0" borderId="1" xfId="0" applyNumberFormat="1" applyFont="1" applyFill="1" applyBorder="1"/>
    <xf numFmtId="0" fontId="5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1" fontId="3" fillId="36" borderId="35" xfId="0" applyNumberFormat="1" applyFont="1" applyFill="1" applyBorder="1"/>
    <xf numFmtId="164" fontId="3" fillId="18" borderId="17" xfId="0" applyNumberFormat="1" applyFont="1" applyFill="1" applyBorder="1"/>
    <xf numFmtId="0" fontId="3" fillId="18" borderId="17" xfId="0" applyFont="1" applyFill="1" applyBorder="1" applyAlignment="1">
      <alignment horizontal="right"/>
    </xf>
    <xf numFmtId="0" fontId="0" fillId="18" borderId="17" xfId="0" applyFill="1" applyBorder="1" applyAlignment="1">
      <alignment vertical="center" wrapText="1"/>
    </xf>
    <xf numFmtId="0" fontId="4" fillId="18" borderId="17" xfId="0" applyFont="1" applyFill="1" applyBorder="1"/>
    <xf numFmtId="0" fontId="0" fillId="37" borderId="36" xfId="0" applyFill="1" applyBorder="1"/>
    <xf numFmtId="1" fontId="3" fillId="38" borderId="37" xfId="0" applyNumberFormat="1" applyFont="1" applyFill="1" applyBorder="1"/>
    <xf numFmtId="164" fontId="3" fillId="25" borderId="24" xfId="0" applyNumberFormat="1" applyFont="1" applyFill="1"/>
    <xf numFmtId="0" fontId="3" fillId="25" borderId="24" xfId="0" applyFont="1" applyFill="1" applyAlignment="1">
      <alignment horizontal="right"/>
    </xf>
    <xf numFmtId="0" fontId="3" fillId="18" borderId="17" xfId="0" applyFont="1" applyFill="1" applyBorder="1"/>
    <xf numFmtId="0" fontId="0" fillId="25" borderId="24" xfId="0" applyFill="1" applyAlignment="1">
      <alignment vertical="center" wrapText="1"/>
    </xf>
    <xf numFmtId="0" fontId="4" fillId="25" borderId="24" xfId="0" applyFont="1" applyFill="1"/>
    <xf numFmtId="0" fontId="0" fillId="39" borderId="38" xfId="0" applyFill="1" applyBorder="1"/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 customBuiltin="1"/>
  </cellStyles>
  <tableStyles count="0"/>
  <extLst>
    <ext uri="smNativeData">
      <pm:charStyles xmlns:pm="smNativeData" id="1749180287" count="1">
        <pm:charStyle name="Normal" fontId="0"/>
      </pm:charStyles>
      <pm:colors xmlns:pm="smNativeData" id="1749180287" count="37">
        <pm:color name="Color 24" rgb="018001"/>
        <pm:color name="Color 25" rgb="00A300"/>
        <pm:color name="Color 26" rgb="00D100"/>
        <pm:color name="Color 27" rgb="3DFF3D"/>
        <pm:color name="Color 28" rgb="9EFFFF"/>
        <pm:color name="Color 29" rgb="E0FFFF"/>
        <pm:color name="Color 30" rgb="018080"/>
        <pm:color name="Color 31" rgb="00A3A3"/>
        <pm:color name="Color 32" rgb="00D1D1"/>
        <pm:color name="Color 33" rgb="3D3DFF"/>
        <pm:color name="Color 34" rgb="5C5CFF"/>
        <pm:color name="Color 35" rgb="9E9EFF"/>
        <pm:color name="Color 36" rgb="E0E0FF"/>
        <pm:color name="Color 37" rgb="FFE0FF"/>
        <pm:color name="Color 38" rgb="E0FFE0"/>
        <pm:color name="Color 39" rgb="0000D1"/>
        <pm:color name="Color 40" rgb="FF5CFF"/>
        <pm:color name="Color 41" rgb="FF9EFF"/>
        <pm:color name="Color 42" rgb="F0F0E0"/>
        <pm:color name="Color 43" rgb="FFFFE0"/>
        <pm:color name="Color 44" rgb="3DFFFF"/>
        <pm:color name="Color 45" rgb="5CFFFF"/>
        <pm:color name="Color 46" rgb="800101"/>
        <pm:color name="Color 47" rgb="A30000"/>
        <pm:color name="Color 48" rgb="D10000"/>
        <pm:color name="Color 49" rgb="FF5C5C"/>
        <pm:color name="Color 50" rgb="FF9E9E"/>
        <pm:color name="Color 51" rgb="FFE0E0"/>
        <pm:color name="Color 52" rgb="B5B5B5"/>
        <pm:color name="Color 53" rgb="D9D9D9"/>
        <pm:color name="Color 54" rgb="800180"/>
        <pm:color name="Color 55" rgb="A300A3"/>
        <pm:color name="Color 56" rgb="CECE9E"/>
        <pm:color name="Color 57" rgb="010180"/>
        <pm:color name="Color 58" rgb="0000A3"/>
        <pm:color name="Color 59" rgb="FF3DFF"/>
        <pm:color name="Color 60" rgb="40400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AB193"/>
  <sheetViews>
    <sheetView tabSelected="1" view="normal" topLeftCell="Q1" zoomScale="120" workbookViewId="0">
      <pane ySplit="1" topLeftCell="A4" activePane="bottomLeft" state="frozen"/>
      <selection pane="bottomLeft" activeCell="AA61" sqref="AA61"/>
    </sheetView>
  </sheetViews>
  <sheetFormatPr baseColWidth="9" defaultColWidth="10.000000" defaultRowHeight="13.45"/>
  <cols>
    <col min="1" max="1" width="4.585586" customWidth="1"/>
    <col min="3" max="3" width="10.000000" hidden="1">
      <extLst>
        <ext uri="smNativeData">
          <pm:columnDef xmlns:pm="smNativeData" id="1749180287" min="3" max="3" hidden="1" collapsedDB="0" collapsedOL="0"/>
        </ext>
      </extLst>
    </col>
    <col min="5" max="11" width="10.000000" hidden="1">
      <extLst>
        <ext uri="smNativeData">
          <pm:columnDef xmlns:pm="smNativeData" id="1749180287" min="5" max="11" hidden="1" collapsedDB="0" collapsedOL="0"/>
        </ext>
      </extLst>
    </col>
    <col min="12" max="12" width="17.207207" customWidth="1" style="25"/>
    <col min="17" max="20" width="8.909910" customWidth="1"/>
    <col min="21" max="21" width="11.846847" customWidth="1"/>
    <col min="22" max="22" width="6.909910" customWidth="1"/>
    <col min="23" max="23" width="12.981982" customWidth="1"/>
    <col min="24" max="24" width="7.009009" customWidth="1"/>
    <col min="25" max="25" width="6.909910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5" t="s">
        <v>11</v>
      </c>
      <c r="M1" t="s">
        <v>12</v>
      </c>
      <c r="N1" t="s">
        <v>13</v>
      </c>
      <c r="O1" t="s">
        <v>14</v>
      </c>
      <c r="P1" t="s">
        <v>15</v>
      </c>
      <c r="Q1" s="18" t="s">
        <v>16</v>
      </c>
      <c r="R1" s="19" t="s">
        <v>17</v>
      </c>
      <c r="S1" s="20" t="s">
        <v>18</v>
      </c>
      <c r="T1" s="21" t="s">
        <v>19</v>
      </c>
      <c r="U1" s="18" t="s">
        <v>20</v>
      </c>
      <c r="V1" s="19" t="s">
        <v>21</v>
      </c>
      <c r="W1" s="20" t="s">
        <v>22</v>
      </c>
      <c r="X1" s="20" t="s">
        <v>23</v>
      </c>
      <c r="Y1" s="21" t="s">
        <v>24</v>
      </c>
      <c r="Z1" s="23" t="s">
        <v>25</v>
      </c>
      <c r="AA1" s="23" t="s">
        <v>26</v>
      </c>
      <c r="AB1" t="s">
        <v>27</v>
      </c>
    </row>
    <row r="2" spans="1:28">
      <c r="A2" s="35">
        <f>B2-DATE(2022,10,11)</f>
        <v>13</v>
      </c>
      <c r="B2" s="36" t="n">
        <v>44858</v>
      </c>
      <c r="C2" s="37" t="n">
        <v>6.20000000000000018</v>
      </c>
      <c r="D2" s="37" t="s">
        <v>28</v>
      </c>
      <c r="E2" s="38" t="n">
        <v>19</v>
      </c>
      <c r="F2" s="37" t="n">
        <v>4</v>
      </c>
      <c r="G2" s="37">
        <f>SUM(H2:I2)</f>
        <v>2</v>
      </c>
      <c r="H2" s="37" t="n">
        <v>2</v>
      </c>
      <c r="I2" s="37" t="n">
        <v>0</v>
      </c>
      <c r="J2" s="37" t="n">
        <v>1</v>
      </c>
      <c r="K2" s="37" t="n">
        <v>0</v>
      </c>
      <c r="L2" s="51" t="s">
        <v>29</v>
      </c>
      <c r="M2" s="37" t="n">
        <v>2</v>
      </c>
      <c r="N2" s="37" t="s">
        <v>30</v>
      </c>
      <c r="O2" s="37" t="s">
        <v>30</v>
      </c>
      <c r="P2" s="43" t="s">
        <v>31</v>
      </c>
      <c r="Q2" s="41" t="s">
        <v>32</v>
      </c>
      <c r="R2" s="41" t="s">
        <v>33</v>
      </c>
      <c r="S2" s="41" t="s">
        <v>34</v>
      </c>
      <c r="T2" s="41" t="s">
        <v>34</v>
      </c>
      <c r="U2" s="41"/>
      <c r="V2" s="41" t="s">
        <v>34</v>
      </c>
      <c r="W2" s="41" t="s">
        <v>35</v>
      </c>
      <c r="X2" s="41" t="n">
        <v>41</v>
      </c>
      <c r="Y2" s="41"/>
      <c r="Z2" s="41" t="s">
        <v>36</v>
      </c>
      <c r="AA2" s="41" t="s">
        <v>37</v>
      </c>
      <c r="AB2" t="s">
        <v>38</v>
      </c>
    </row>
    <row r="3" spans="1:27" hidden="1">
      <c r="A3" s="39">
        <f>B3-DATE(2022,10,11)</f>
        <v>13</v>
      </c>
      <c r="B3" s="40" t="n">
        <v>44858</v>
      </c>
      <c r="C3" s="41" t="n">
        <v>6.20000000000000018</v>
      </c>
      <c r="D3" s="41" t="s">
        <v>28</v>
      </c>
      <c r="E3" s="42" t="n">
        <v>19</v>
      </c>
      <c r="F3" s="41" t="n">
        <v>4</v>
      </c>
      <c r="G3" s="41">
        <f>SUM(H3:I3)</f>
        <v>2</v>
      </c>
      <c r="H3" s="41" t="n">
        <v>2</v>
      </c>
      <c r="I3" s="41" t="n">
        <v>0</v>
      </c>
      <c r="J3" s="41" t="n">
        <v>1</v>
      </c>
      <c r="K3" s="41" t="n">
        <v>0</v>
      </c>
      <c r="L3" s="52" t="s">
        <v>29</v>
      </c>
      <c r="M3" s="41" t="n">
        <v>2</v>
      </c>
      <c r="N3" s="41" t="s">
        <v>30</v>
      </c>
      <c r="O3" s="41" t="s">
        <v>30</v>
      </c>
      <c r="P3" s="44" t="s">
        <v>31</v>
      </c>
      <c r="Q3" s="41" t="s">
        <v>39</v>
      </c>
      <c r="R3" s="41" t="s">
        <v>33</v>
      </c>
      <c r="S3" s="41" t="s">
        <v>34</v>
      </c>
      <c r="T3" s="41" t="s">
        <v>34</v>
      </c>
      <c r="U3" s="41"/>
      <c r="V3" s="41" t="s">
        <v>34</v>
      </c>
      <c r="W3" s="41" t="s">
        <v>40</v>
      </c>
      <c r="X3" s="41"/>
      <c r="Y3" s="41"/>
      <c r="Z3" s="41"/>
      <c r="AA3" s="41"/>
      <extLst>
        <ext uri="smNativeData">
          <pm:rowDef xmlns:pm="smNativeData" id="1749180287" r="3" hidden="0" collapsedDB="1" collapsedOL="0"/>
        </ext>
      </extLst>
    </row>
    <row r="4" spans="1:28">
      <c r="A4" s="11">
        <f>B4-DATE(2022,10,11)</f>
        <v>13</v>
      </c>
      <c r="B4" s="12" t="n">
        <v>44858</v>
      </c>
      <c r="C4" s="13" t="n">
        <v>6.20000000000000018</v>
      </c>
      <c r="D4" s="13" t="s">
        <v>41</v>
      </c>
      <c r="E4" s="14">
        <f>3+10</f>
        <v>13</v>
      </c>
      <c r="F4" s="13" t="n">
        <v>0</v>
      </c>
      <c r="G4" s="13">
        <f>SUM(H4:I4)</f>
        <v>2</v>
      </c>
      <c r="H4" s="13" t="n">
        <v>2</v>
      </c>
      <c r="I4" s="13" t="n">
        <v>0</v>
      </c>
      <c r="J4" s="13" t="n">
        <v>0</v>
      </c>
      <c r="K4" s="13" t="n">
        <v>0</v>
      </c>
      <c r="L4" s="26" t="s">
        <v>42</v>
      </c>
      <c r="M4" s="13" t="n">
        <v>22</v>
      </c>
      <c r="N4" s="13" t="n">
        <v>3</v>
      </c>
      <c r="O4" s="13" t="n">
        <v>10</v>
      </c>
      <c r="P4" s="13" t="s">
        <v>31</v>
      </c>
      <c r="Q4" s="13"/>
      <c r="R4" s="13" t="s">
        <v>33</v>
      </c>
      <c r="S4" s="13" t="s">
        <v>34</v>
      </c>
      <c r="T4" s="13" t="s">
        <v>34</v>
      </c>
      <c r="U4" s="24" t="s">
        <v>43</v>
      </c>
      <c r="V4" s="13" t="s">
        <v>34</v>
      </c>
      <c r="W4" s="27" t="s">
        <v>44</v>
      </c>
      <c r="X4" s="27" t="n">
        <v>0</v>
      </c>
      <c r="Y4" s="13" t="s">
        <v>34</v>
      </c>
      <c r="Z4" s="13" t="s">
        <v>36</v>
      </c>
      <c r="AA4" s="15" t="s">
        <v>45</v>
      </c>
      <c r="AB4" t="s">
        <v>38</v>
      </c>
    </row>
    <row r="5" spans="1:28">
      <c r="A5" s="16">
        <f>B5-DATE(2022,10,11)</f>
        <v>13</v>
      </c>
      <c r="B5" s="1" t="n">
        <v>44858</v>
      </c>
      <c r="C5" t="n">
        <v>6.20000000000000018</v>
      </c>
      <c r="D5" t="s">
        <v>41</v>
      </c>
      <c r="E5" s="2">
        <f>3+10</f>
        <v>13</v>
      </c>
      <c r="F5" t="n">
        <v>0</v>
      </c>
      <c r="G5">
        <f>SUM(H5:I5)</f>
        <v>2</v>
      </c>
      <c r="H5" t="n">
        <v>2</v>
      </c>
      <c r="I5" t="n">
        <v>0</v>
      </c>
      <c r="J5" t="n">
        <v>0</v>
      </c>
      <c r="K5" t="n">
        <v>0</v>
      </c>
      <c r="M5" t="n">
        <v>22</v>
      </c>
      <c r="N5" t="n">
        <v>3</v>
      </c>
      <c r="O5" t="n">
        <v>10</v>
      </c>
      <c r="P5" t="s">
        <v>31</v>
      </c>
      <c r="R5" t="s">
        <v>33</v>
      </c>
      <c r="S5" t="s">
        <v>34</v>
      </c>
      <c r="T5" t="s">
        <v>34</v>
      </c>
      <c r="U5" s="22"/>
      <c r="V5" t="s">
        <v>34</v>
      </c>
      <c r="W5" s="28"/>
      <c r="X5" s="28" t="n">
        <v>0</v>
      </c>
      <c r="Z5" t="s">
        <v>36</v>
      </c>
      <c r="AA5" s="17" t="s">
        <v>45</v>
      </c>
      <c r="AB5" t="s">
        <v>38</v>
      </c>
    </row>
    <row r="6" spans="1:28">
      <c r="A6" s="16">
        <f>B6-DATE(2022,10,11)</f>
        <v>13</v>
      </c>
      <c r="B6" s="1" t="n">
        <v>44858</v>
      </c>
      <c r="C6" t="n">
        <v>6.20000000000000018</v>
      </c>
      <c r="D6" t="s">
        <v>41</v>
      </c>
      <c r="E6" s="2">
        <f>3+10</f>
        <v>13</v>
      </c>
      <c r="F6" t="n">
        <v>0</v>
      </c>
      <c r="G6">
        <f>SUM(H6:I6)</f>
        <v>2</v>
      </c>
      <c r="H6" t="n">
        <v>2</v>
      </c>
      <c r="I6" t="n">
        <v>0</v>
      </c>
      <c r="J6" t="n">
        <v>0</v>
      </c>
      <c r="K6" t="n">
        <v>0</v>
      </c>
      <c r="M6" t="n">
        <v>22</v>
      </c>
      <c r="N6" t="n">
        <v>3</v>
      </c>
      <c r="O6" t="n">
        <v>10</v>
      </c>
      <c r="P6" t="s">
        <v>31</v>
      </c>
      <c r="R6" t="s">
        <v>33</v>
      </c>
      <c r="S6" t="s">
        <v>34</v>
      </c>
      <c r="T6" t="s">
        <v>34</v>
      </c>
      <c r="U6" s="22"/>
      <c r="V6" t="s">
        <v>34</v>
      </c>
      <c r="W6" s="28"/>
      <c r="X6" s="28" t="n">
        <v>0</v>
      </c>
      <c r="Z6" t="s">
        <v>36</v>
      </c>
      <c r="AA6" s="17" t="s">
        <v>45</v>
      </c>
      <c r="AB6" t="s">
        <v>38</v>
      </c>
    </row>
    <row r="7" spans="1:27" hidden="1">
      <c r="A7" s="16">
        <f>B7-DATE(2022,10,11)</f>
        <v>13</v>
      </c>
      <c r="B7" s="1" t="n">
        <v>44858</v>
      </c>
      <c r="C7" t="n">
        <v>6.20000000000000018</v>
      </c>
      <c r="D7" t="s">
        <v>41</v>
      </c>
      <c r="E7" s="2">
        <f>3+10</f>
        <v>13</v>
      </c>
      <c r="F7" t="n">
        <v>0</v>
      </c>
      <c r="G7">
        <f>SUM(H7:I7)</f>
        <v>2</v>
      </c>
      <c r="H7" t="n">
        <v>2</v>
      </c>
      <c r="I7" t="n">
        <v>0</v>
      </c>
      <c r="J7" t="n">
        <v>0</v>
      </c>
      <c r="K7" t="n">
        <v>0</v>
      </c>
      <c r="M7" t="n">
        <v>22</v>
      </c>
      <c r="N7" t="n">
        <v>3</v>
      </c>
      <c r="O7" t="n">
        <v>10</v>
      </c>
      <c r="Z7" s="29"/>
      <c r="AA7" s="30"/>
      <extLst>
        <ext uri="smNativeData">
          <pm:rowDef xmlns:pm="smNativeData" id="1749180287" r="7" hidden="0" collapsedDB="1" collapsedOL="0"/>
        </ext>
      </extLst>
    </row>
    <row r="8" spans="1:27" hidden="1">
      <c r="A8" s="16">
        <f>B8-DATE(2022,10,11)</f>
        <v>13</v>
      </c>
      <c r="B8" s="1" t="n">
        <v>44858</v>
      </c>
      <c r="C8" t="n">
        <v>6.20000000000000018</v>
      </c>
      <c r="D8" t="s">
        <v>41</v>
      </c>
      <c r="E8" s="2">
        <f>3+10</f>
        <v>13</v>
      </c>
      <c r="F8" t="n">
        <v>0</v>
      </c>
      <c r="G8">
        <f>SUM(H8:I8)</f>
        <v>2</v>
      </c>
      <c r="H8" t="n">
        <v>2</v>
      </c>
      <c r="I8" t="n">
        <v>0</v>
      </c>
      <c r="J8" t="n">
        <v>0</v>
      </c>
      <c r="K8" t="n">
        <v>0</v>
      </c>
      <c r="M8" t="n">
        <v>22</v>
      </c>
      <c r="N8" t="n">
        <v>3</v>
      </c>
      <c r="O8" t="n">
        <v>10</v>
      </c>
      <c r="Z8" s="29"/>
      <c r="AA8" s="30"/>
      <extLst>
        <ext uri="smNativeData">
          <pm:rowDef xmlns:pm="smNativeData" id="1749180287" r="8" hidden="0" collapsedDB="1" collapsedOL="0"/>
        </ext>
      </extLst>
    </row>
    <row r="9" spans="1:27" hidden="1">
      <c r="A9" s="16">
        <f>B9-DATE(2022,10,11)</f>
        <v>13</v>
      </c>
      <c r="B9" s="1" t="n">
        <v>44858</v>
      </c>
      <c r="C9" t="n">
        <v>6.20000000000000018</v>
      </c>
      <c r="D9" t="s">
        <v>41</v>
      </c>
      <c r="E9" s="2">
        <f>3+10</f>
        <v>13</v>
      </c>
      <c r="F9" t="n">
        <v>0</v>
      </c>
      <c r="G9">
        <f>SUM(H9:I9)</f>
        <v>2</v>
      </c>
      <c r="H9" t="n">
        <v>2</v>
      </c>
      <c r="I9" t="n">
        <v>0</v>
      </c>
      <c r="J9" t="n">
        <v>0</v>
      </c>
      <c r="K9" t="n">
        <v>0</v>
      </c>
      <c r="M9" t="n">
        <v>22</v>
      </c>
      <c r="N9" t="n">
        <v>3</v>
      </c>
      <c r="O9" t="n">
        <v>10</v>
      </c>
      <c r="Z9" s="29"/>
      <c r="AA9" s="30"/>
      <extLst>
        <ext uri="smNativeData">
          <pm:rowDef xmlns:pm="smNativeData" id="1749180287" r="9" hidden="0" collapsedDB="1" collapsedOL="0"/>
        </ext>
      </extLst>
    </row>
    <row r="10" spans="1:27" hidden="1">
      <c r="A10" s="16">
        <f>B10-DATE(2022,10,11)</f>
        <v>13</v>
      </c>
      <c r="B10" s="1" t="n">
        <v>44858</v>
      </c>
      <c r="C10" t="n">
        <v>6.20000000000000018</v>
      </c>
      <c r="D10" t="s">
        <v>41</v>
      </c>
      <c r="E10" s="2">
        <f>3+10</f>
        <v>13</v>
      </c>
      <c r="F10" t="n">
        <v>0</v>
      </c>
      <c r="G10">
        <f>SUM(H10:I10)</f>
        <v>2</v>
      </c>
      <c r="H10" t="n">
        <v>2</v>
      </c>
      <c r="I10" t="n">
        <v>0</v>
      </c>
      <c r="J10" t="n">
        <v>0</v>
      </c>
      <c r="K10" t="n">
        <v>0</v>
      </c>
      <c r="M10" t="n">
        <v>22</v>
      </c>
      <c r="N10" t="n">
        <v>3</v>
      </c>
      <c r="O10" t="n">
        <v>10</v>
      </c>
      <c r="Z10" s="29"/>
      <c r="AA10" s="30"/>
      <extLst>
        <ext uri="smNativeData">
          <pm:rowDef xmlns:pm="smNativeData" id="1749180287" r="10" hidden="0" collapsedDB="1" collapsedOL="0"/>
        </ext>
      </extLst>
    </row>
    <row r="11" spans="1:27" hidden="1">
      <c r="A11" s="16">
        <f>B11-DATE(2022,10,11)</f>
        <v>13</v>
      </c>
      <c r="B11" s="1" t="n">
        <v>44858</v>
      </c>
      <c r="C11" t="n">
        <v>6.20000000000000018</v>
      </c>
      <c r="D11" t="s">
        <v>41</v>
      </c>
      <c r="E11" s="2">
        <f>3+10</f>
        <v>13</v>
      </c>
      <c r="F11" t="n">
        <v>0</v>
      </c>
      <c r="G11">
        <f>SUM(H11:I11)</f>
        <v>2</v>
      </c>
      <c r="H11" t="n">
        <v>2</v>
      </c>
      <c r="I11" t="n">
        <v>0</v>
      </c>
      <c r="J11" t="n">
        <v>0</v>
      </c>
      <c r="K11" t="n">
        <v>0</v>
      </c>
      <c r="M11" t="n">
        <v>22</v>
      </c>
      <c r="N11" t="n">
        <v>3</v>
      </c>
      <c r="O11" t="n">
        <v>10</v>
      </c>
      <c r="Z11" s="29"/>
      <c r="AA11" s="30"/>
      <extLst>
        <ext uri="smNativeData">
          <pm:rowDef xmlns:pm="smNativeData" id="1749180287" r="11" hidden="0" collapsedDB="1" collapsedOL="0"/>
        </ext>
      </extLst>
    </row>
    <row r="12" spans="1:27" hidden="1">
      <c r="A12" s="16">
        <f>B12-DATE(2022,10,11)</f>
        <v>13</v>
      </c>
      <c r="B12" s="1" t="n">
        <v>44858</v>
      </c>
      <c r="C12" t="n">
        <v>6.20000000000000018</v>
      </c>
      <c r="D12" t="s">
        <v>41</v>
      </c>
      <c r="E12" s="2">
        <f>3+10</f>
        <v>13</v>
      </c>
      <c r="F12" t="n">
        <v>0</v>
      </c>
      <c r="G12">
        <f>SUM(H12:I12)</f>
        <v>2</v>
      </c>
      <c r="H12" t="n">
        <v>2</v>
      </c>
      <c r="I12" t="n">
        <v>0</v>
      </c>
      <c r="J12" t="n">
        <v>0</v>
      </c>
      <c r="K12" t="n">
        <v>0</v>
      </c>
      <c r="M12" t="n">
        <v>22</v>
      </c>
      <c r="N12" t="n">
        <v>3</v>
      </c>
      <c r="O12" t="n">
        <v>10</v>
      </c>
      <c r="Z12" s="29"/>
      <c r="AA12" s="30"/>
      <extLst>
        <ext uri="smNativeData">
          <pm:rowDef xmlns:pm="smNativeData" id="1749180287" r="12" hidden="0" collapsedDB="1" collapsedOL="0"/>
        </ext>
      </extLst>
    </row>
    <row r="13" spans="1:27" hidden="1">
      <c r="A13" s="16">
        <f>B13-DATE(2022,10,11)</f>
        <v>13</v>
      </c>
      <c r="B13" s="1" t="n">
        <v>44858</v>
      </c>
      <c r="C13" t="n">
        <v>6.20000000000000018</v>
      </c>
      <c r="D13" t="s">
        <v>41</v>
      </c>
      <c r="E13" s="2">
        <f>3+10</f>
        <v>13</v>
      </c>
      <c r="F13" t="n">
        <v>0</v>
      </c>
      <c r="G13">
        <f>SUM(H13:I13)</f>
        <v>2</v>
      </c>
      <c r="H13" t="n">
        <v>2</v>
      </c>
      <c r="I13" t="n">
        <v>0</v>
      </c>
      <c r="J13" t="n">
        <v>0</v>
      </c>
      <c r="K13" t="n">
        <v>0</v>
      </c>
      <c r="M13" t="n">
        <v>22</v>
      </c>
      <c r="N13" t="n">
        <v>3</v>
      </c>
      <c r="O13" t="n">
        <v>10</v>
      </c>
      <c r="Z13" s="29"/>
      <c r="AA13" s="30"/>
      <extLst>
        <ext uri="smNativeData">
          <pm:rowDef xmlns:pm="smNativeData" id="1749180287" r="13" hidden="0" collapsedDB="1" collapsedOL="0"/>
        </ext>
      </extLst>
    </row>
    <row r="14" spans="1:27" hidden="1">
      <c r="A14" s="16">
        <f>B14-DATE(2022,10,11)</f>
        <v>13</v>
      </c>
      <c r="B14" s="1" t="n">
        <v>44858</v>
      </c>
      <c r="C14" t="n">
        <v>6.20000000000000018</v>
      </c>
      <c r="D14" t="s">
        <v>41</v>
      </c>
      <c r="E14" s="2">
        <f>3+10</f>
        <v>13</v>
      </c>
      <c r="F14" t="n">
        <v>0</v>
      </c>
      <c r="G14">
        <f>SUM(H14:I14)</f>
        <v>2</v>
      </c>
      <c r="H14" t="n">
        <v>2</v>
      </c>
      <c r="I14" t="n">
        <v>0</v>
      </c>
      <c r="J14" t="n">
        <v>0</v>
      </c>
      <c r="K14" t="n">
        <v>0</v>
      </c>
      <c r="M14" t="n">
        <v>22</v>
      </c>
      <c r="N14" t="n">
        <v>3</v>
      </c>
      <c r="O14" t="n">
        <v>10</v>
      </c>
      <c r="Z14" s="29"/>
      <c r="AA14" s="30"/>
      <extLst>
        <ext uri="smNativeData">
          <pm:rowDef xmlns:pm="smNativeData" id="1749180287" r="14" hidden="0" collapsedDB="1" collapsedOL="0"/>
        </ext>
      </extLst>
    </row>
    <row r="15" spans="1:27" hidden="1">
      <c r="A15" s="16">
        <f>B15-DATE(2022,10,11)</f>
        <v>13</v>
      </c>
      <c r="B15" s="1" t="n">
        <v>44858</v>
      </c>
      <c r="C15" t="n">
        <v>6.20000000000000018</v>
      </c>
      <c r="D15" t="s">
        <v>41</v>
      </c>
      <c r="E15" s="2">
        <f>3+10</f>
        <v>13</v>
      </c>
      <c r="F15" t="n">
        <v>0</v>
      </c>
      <c r="G15">
        <f>SUM(H15:I15)</f>
        <v>2</v>
      </c>
      <c r="H15" t="n">
        <v>2</v>
      </c>
      <c r="I15" t="n">
        <v>0</v>
      </c>
      <c r="J15" t="n">
        <v>0</v>
      </c>
      <c r="K15" t="n">
        <v>0</v>
      </c>
      <c r="M15" t="n">
        <v>22</v>
      </c>
      <c r="N15" t="n">
        <v>3</v>
      </c>
      <c r="O15" t="n">
        <v>10</v>
      </c>
      <c r="Z15" s="29"/>
      <c r="AA15" s="30"/>
      <extLst>
        <ext uri="smNativeData">
          <pm:rowDef xmlns:pm="smNativeData" id="1749180287" r="15" hidden="0" collapsedDB="1" collapsedOL="0"/>
        </ext>
      </extLst>
    </row>
    <row r="16" spans="1:27" hidden="1">
      <c r="A16" s="16">
        <f>B16-DATE(2022,10,11)</f>
        <v>13</v>
      </c>
      <c r="B16" s="1" t="n">
        <v>44858</v>
      </c>
      <c r="C16" t="n">
        <v>6.20000000000000018</v>
      </c>
      <c r="D16" t="s">
        <v>41</v>
      </c>
      <c r="E16" s="2">
        <f>3+10</f>
        <v>13</v>
      </c>
      <c r="F16" t="n">
        <v>0</v>
      </c>
      <c r="G16">
        <f>SUM(H16:I16)</f>
        <v>2</v>
      </c>
      <c r="H16" t="n">
        <v>2</v>
      </c>
      <c r="I16" t="n">
        <v>0</v>
      </c>
      <c r="J16" t="n">
        <v>0</v>
      </c>
      <c r="K16" t="n">
        <v>0</v>
      </c>
      <c r="M16" t="n">
        <v>22</v>
      </c>
      <c r="N16" t="n">
        <v>3</v>
      </c>
      <c r="O16" t="n">
        <v>10</v>
      </c>
      <c r="Z16" s="29"/>
      <c r="AA16" s="30"/>
      <extLst>
        <ext uri="smNativeData">
          <pm:rowDef xmlns:pm="smNativeData" id="1749180287" r="16" hidden="0" collapsedDB="1" collapsedOL="0"/>
        </ext>
      </extLst>
    </row>
    <row r="17" spans="1:27" hidden="1">
      <c r="A17" s="16">
        <f>B17-DATE(2022,10,11)</f>
        <v>13</v>
      </c>
      <c r="B17" s="1" t="n">
        <v>44858</v>
      </c>
      <c r="C17" t="n">
        <v>6.20000000000000018</v>
      </c>
      <c r="D17" t="s">
        <v>41</v>
      </c>
      <c r="E17" s="2">
        <f>3+10</f>
        <v>13</v>
      </c>
      <c r="F17" t="n">
        <v>0</v>
      </c>
      <c r="G17">
        <f>SUM(H17:I17)</f>
        <v>2</v>
      </c>
      <c r="H17" t="n">
        <v>2</v>
      </c>
      <c r="I17" t="n">
        <v>0</v>
      </c>
      <c r="J17" t="n">
        <v>0</v>
      </c>
      <c r="K17" t="n">
        <v>0</v>
      </c>
      <c r="M17" t="n">
        <v>22</v>
      </c>
      <c r="N17" t="n">
        <v>3</v>
      </c>
      <c r="O17" t="n">
        <v>10</v>
      </c>
      <c r="Z17" s="29"/>
      <c r="AA17" s="30"/>
      <extLst>
        <ext uri="smNativeData">
          <pm:rowDef xmlns:pm="smNativeData" id="1749180287" r="17" hidden="0" collapsedDB="1" collapsedOL="0"/>
        </ext>
      </extLst>
    </row>
    <row r="18" spans="1:27" hidden="1">
      <c r="A18" s="16">
        <f>B18-DATE(2022,10,11)</f>
        <v>13</v>
      </c>
      <c r="B18" s="1" t="n">
        <v>44858</v>
      </c>
      <c r="C18" t="n">
        <v>6.20000000000000018</v>
      </c>
      <c r="D18" t="s">
        <v>41</v>
      </c>
      <c r="E18" s="2">
        <f>3+10</f>
        <v>13</v>
      </c>
      <c r="F18" t="n">
        <v>0</v>
      </c>
      <c r="G18">
        <f>SUM(H18:I18)</f>
        <v>2</v>
      </c>
      <c r="H18" t="n">
        <v>2</v>
      </c>
      <c r="I18" t="n">
        <v>0</v>
      </c>
      <c r="J18" t="n">
        <v>0</v>
      </c>
      <c r="K18" t="n">
        <v>0</v>
      </c>
      <c r="M18" t="n">
        <v>22</v>
      </c>
      <c r="N18" t="n">
        <v>3</v>
      </c>
      <c r="O18" t="n">
        <v>10</v>
      </c>
      <c r="Z18" s="29"/>
      <c r="AA18" s="30"/>
      <extLst>
        <ext uri="smNativeData">
          <pm:rowDef xmlns:pm="smNativeData" id="1749180287" r="18" hidden="0" collapsedDB="1" collapsedOL="0"/>
        </ext>
      </extLst>
    </row>
    <row r="19" spans="1:27" hidden="1">
      <c r="A19" s="16">
        <f>B19-DATE(2022,10,11)</f>
        <v>13</v>
      </c>
      <c r="B19" s="1" t="n">
        <v>44858</v>
      </c>
      <c r="C19" t="n">
        <v>6.20000000000000018</v>
      </c>
      <c r="D19" t="s">
        <v>41</v>
      </c>
      <c r="E19" s="2">
        <f>3+10</f>
        <v>13</v>
      </c>
      <c r="F19" t="n">
        <v>0</v>
      </c>
      <c r="G19">
        <f>SUM(H19:I19)</f>
        <v>2</v>
      </c>
      <c r="H19" t="n">
        <v>2</v>
      </c>
      <c r="I19" t="n">
        <v>0</v>
      </c>
      <c r="J19" t="n">
        <v>0</v>
      </c>
      <c r="K19" t="n">
        <v>0</v>
      </c>
      <c r="M19" t="n">
        <v>22</v>
      </c>
      <c r="N19" t="n">
        <v>3</v>
      </c>
      <c r="O19" t="n">
        <v>10</v>
      </c>
      <c r="Z19" s="29"/>
      <c r="AA19" s="30"/>
      <extLst>
        <ext uri="smNativeData">
          <pm:rowDef xmlns:pm="smNativeData" id="1749180287" r="19" hidden="0" collapsedDB="1" collapsedOL="0"/>
        </ext>
      </extLst>
    </row>
    <row r="20" spans="1:27" hidden="1">
      <c r="A20" s="16">
        <f>B20-DATE(2022,10,11)</f>
        <v>13</v>
      </c>
      <c r="B20" s="1" t="n">
        <v>44858</v>
      </c>
      <c r="C20" t="n">
        <v>6.20000000000000018</v>
      </c>
      <c r="D20" t="s">
        <v>41</v>
      </c>
      <c r="E20" s="2">
        <f>3+10</f>
        <v>13</v>
      </c>
      <c r="F20" t="n">
        <v>0</v>
      </c>
      <c r="G20">
        <f>SUM(H20:I20)</f>
        <v>2</v>
      </c>
      <c r="H20" t="n">
        <v>2</v>
      </c>
      <c r="I20" t="n">
        <v>0</v>
      </c>
      <c r="J20" t="n">
        <v>0</v>
      </c>
      <c r="K20" t="n">
        <v>0</v>
      </c>
      <c r="M20" t="n">
        <v>22</v>
      </c>
      <c r="N20" t="n">
        <v>3</v>
      </c>
      <c r="O20" t="n">
        <v>10</v>
      </c>
      <c r="Z20" s="29"/>
      <c r="AA20" s="30"/>
      <extLst>
        <ext uri="smNativeData">
          <pm:rowDef xmlns:pm="smNativeData" id="1749180287" r="20" hidden="0" collapsedDB="1" collapsedOL="0"/>
        </ext>
      </extLst>
    </row>
    <row r="21" spans="1:27" hidden="1">
      <c r="A21" s="16">
        <f>B21-DATE(2022,10,11)</f>
        <v>13</v>
      </c>
      <c r="B21" s="1" t="n">
        <v>44858</v>
      </c>
      <c r="C21" t="n">
        <v>6.20000000000000018</v>
      </c>
      <c r="D21" t="s">
        <v>41</v>
      </c>
      <c r="E21" s="2">
        <f>3+10</f>
        <v>13</v>
      </c>
      <c r="F21" t="n">
        <v>0</v>
      </c>
      <c r="G21">
        <f>SUM(H21:I21)</f>
        <v>2</v>
      </c>
      <c r="H21" t="n">
        <v>2</v>
      </c>
      <c r="I21" t="n">
        <v>0</v>
      </c>
      <c r="J21" t="n">
        <v>0</v>
      </c>
      <c r="K21" t="n">
        <v>0</v>
      </c>
      <c r="M21" t="n">
        <v>22</v>
      </c>
      <c r="N21" t="n">
        <v>3</v>
      </c>
      <c r="O21" t="n">
        <v>10</v>
      </c>
      <c r="Z21" s="29"/>
      <c r="AA21" s="30"/>
      <extLst>
        <ext uri="smNativeData">
          <pm:rowDef xmlns:pm="smNativeData" id="1749180287" r="21" hidden="0" collapsedDB="1" collapsedOL="0"/>
        </ext>
      </extLst>
    </row>
    <row r="22" spans="1:27" hidden="1">
      <c r="A22" s="16">
        <f>B22-DATE(2022,10,11)</f>
        <v>13</v>
      </c>
      <c r="B22" s="1" t="n">
        <v>44858</v>
      </c>
      <c r="C22" t="n">
        <v>6.20000000000000018</v>
      </c>
      <c r="D22" t="s">
        <v>41</v>
      </c>
      <c r="E22" s="2">
        <f>3+10</f>
        <v>13</v>
      </c>
      <c r="F22" t="n">
        <v>0</v>
      </c>
      <c r="G22">
        <f>SUM(H22:I22)</f>
        <v>2</v>
      </c>
      <c r="H22" t="n">
        <v>2</v>
      </c>
      <c r="I22" t="n">
        <v>0</v>
      </c>
      <c r="J22" t="n">
        <v>0</v>
      </c>
      <c r="K22" t="n">
        <v>0</v>
      </c>
      <c r="M22" t="n">
        <v>22</v>
      </c>
      <c r="N22" t="n">
        <v>3</v>
      </c>
      <c r="O22" t="n">
        <v>10</v>
      </c>
      <c r="Z22" s="29"/>
      <c r="AA22" s="30"/>
      <extLst>
        <ext uri="smNativeData">
          <pm:rowDef xmlns:pm="smNativeData" id="1749180287" r="22" hidden="0" collapsedDB="1" collapsedOL="0"/>
        </ext>
      </extLst>
    </row>
    <row r="23" spans="1:27" hidden="1">
      <c r="A23" s="16">
        <f>B23-DATE(2022,10,11)</f>
        <v>13</v>
      </c>
      <c r="B23" s="1" t="n">
        <v>44858</v>
      </c>
      <c r="C23" t="n">
        <v>6.20000000000000018</v>
      </c>
      <c r="D23" t="s">
        <v>41</v>
      </c>
      <c r="E23" s="2">
        <f>3+10</f>
        <v>13</v>
      </c>
      <c r="F23" t="n">
        <v>0</v>
      </c>
      <c r="G23">
        <f>SUM(H23:I23)</f>
        <v>2</v>
      </c>
      <c r="H23" t="n">
        <v>2</v>
      </c>
      <c r="I23" t="n">
        <v>0</v>
      </c>
      <c r="J23" t="n">
        <v>0</v>
      </c>
      <c r="K23" t="n">
        <v>0</v>
      </c>
      <c r="M23" t="n">
        <v>22</v>
      </c>
      <c r="N23" t="n">
        <v>3</v>
      </c>
      <c r="O23" t="n">
        <v>10</v>
      </c>
      <c r="Z23" s="29"/>
      <c r="AA23" s="30"/>
      <extLst>
        <ext uri="smNativeData">
          <pm:rowDef xmlns:pm="smNativeData" id="1749180287" r="23" hidden="0" collapsedDB="1" collapsedOL="0"/>
        </ext>
      </extLst>
    </row>
    <row r="24" spans="1:27" hidden="1">
      <c r="A24" s="16">
        <f>B24-DATE(2022,10,11)</f>
        <v>13</v>
      </c>
      <c r="B24" s="1" t="n">
        <v>44858</v>
      </c>
      <c r="C24" t="n">
        <v>6.20000000000000018</v>
      </c>
      <c r="D24" t="s">
        <v>41</v>
      </c>
      <c r="E24" s="2">
        <f>3+10</f>
        <v>13</v>
      </c>
      <c r="F24" t="n">
        <v>0</v>
      </c>
      <c r="G24">
        <f>SUM(H24:I24)</f>
        <v>2</v>
      </c>
      <c r="H24" t="n">
        <v>2</v>
      </c>
      <c r="I24" t="n">
        <v>0</v>
      </c>
      <c r="J24" t="n">
        <v>0</v>
      </c>
      <c r="K24" t="n">
        <v>0</v>
      </c>
      <c r="M24" t="n">
        <v>22</v>
      </c>
      <c r="N24" t="n">
        <v>3</v>
      </c>
      <c r="O24" t="n">
        <v>10</v>
      </c>
      <c r="Z24" s="29"/>
      <c r="AA24" s="30"/>
      <extLst>
        <ext uri="smNativeData">
          <pm:rowDef xmlns:pm="smNativeData" id="1749180287" r="24" hidden="0" collapsedDB="1" collapsedOL="0"/>
        </ext>
      </extLst>
    </row>
    <row r="25" spans="1:27" hidden="1">
      <c r="A25" s="16">
        <f>B25-DATE(2022,10,11)</f>
        <v>13</v>
      </c>
      <c r="B25" s="1" t="n">
        <v>44858</v>
      </c>
      <c r="C25" t="n">
        <v>6.20000000000000018</v>
      </c>
      <c r="D25" t="s">
        <v>41</v>
      </c>
      <c r="E25" s="2">
        <f>3+10</f>
        <v>13</v>
      </c>
      <c r="F25" t="n">
        <v>0</v>
      </c>
      <c r="G25">
        <f>SUM(H25:I25)</f>
        <v>2</v>
      </c>
      <c r="H25" t="n">
        <v>2</v>
      </c>
      <c r="I25" t="n">
        <v>0</v>
      </c>
      <c r="J25" t="n">
        <v>0</v>
      </c>
      <c r="K25" t="n">
        <v>0</v>
      </c>
      <c r="M25" t="n">
        <v>22</v>
      </c>
      <c r="N25" t="n">
        <v>3</v>
      </c>
      <c r="O25" t="n">
        <v>10</v>
      </c>
      <c r="Z25" s="29"/>
      <c r="AA25" s="30"/>
      <extLst>
        <ext uri="smNativeData">
          <pm:rowDef xmlns:pm="smNativeData" id="1749180287" r="25" hidden="0" collapsedDB="1" collapsedOL="0"/>
        </ext>
      </extLst>
    </row>
    <row r="26" spans="1:28">
      <c r="A26" s="35">
        <f>B26-DATE(2022,10,11)</f>
        <v>17</v>
      </c>
      <c r="B26" s="36" t="n">
        <v>44862</v>
      </c>
      <c r="C26" s="37" t="n">
        <v>6</v>
      </c>
      <c r="D26" s="37" t="s">
        <v>28</v>
      </c>
      <c r="E26" s="38" t="n">
        <v>19</v>
      </c>
      <c r="F26" s="37" t="n">
        <v>4</v>
      </c>
      <c r="G26" s="37">
        <f>SUM(H26:I26)</f>
        <v>2</v>
      </c>
      <c r="H26" s="37" t="n">
        <v>2</v>
      </c>
      <c r="I26" s="37" t="n">
        <v>0</v>
      </c>
      <c r="J26" s="37" t="n">
        <v>1</v>
      </c>
      <c r="K26" s="37" t="n">
        <v>0</v>
      </c>
      <c r="L26" s="51" t="s">
        <v>29</v>
      </c>
      <c r="M26" s="37" t="n">
        <v>4</v>
      </c>
      <c r="N26" s="37" t="s">
        <v>30</v>
      </c>
      <c r="O26" s="37" t="s">
        <v>30</v>
      </c>
      <c r="P26" s="37" t="s">
        <v>31</v>
      </c>
      <c r="Q26" s="37" t="s">
        <v>39</v>
      </c>
      <c r="R26" s="37" t="s">
        <v>33</v>
      </c>
      <c r="S26" s="37" t="s">
        <v>34</v>
      </c>
      <c r="T26" s="37" t="s">
        <v>34</v>
      </c>
      <c r="U26" s="37" t="s">
        <v>46</v>
      </c>
      <c r="V26" s="37" t="s">
        <v>34</v>
      </c>
      <c r="W26" s="37" t="s">
        <v>35</v>
      </c>
      <c r="X26" s="37" t="n">
        <v>32</v>
      </c>
      <c r="Y26" s="37" t="s">
        <v>34</v>
      </c>
      <c r="Z26" s="47" t="s">
        <v>36</v>
      </c>
      <c r="AA26" s="45" t="s">
        <v>37</v>
      </c>
      <c r="AB26" t="s">
        <v>38</v>
      </c>
    </row>
    <row r="27" spans="1:28">
      <c r="A27" s="39">
        <f>B27-DATE(2022,10,11)</f>
        <v>17</v>
      </c>
      <c r="B27" s="40" t="n">
        <v>44862</v>
      </c>
      <c r="C27" s="41" t="n">
        <v>6</v>
      </c>
      <c r="D27" s="41" t="s">
        <v>28</v>
      </c>
      <c r="E27" s="42" t="n">
        <v>19</v>
      </c>
      <c r="F27" s="41" t="n">
        <v>4</v>
      </c>
      <c r="G27" s="41">
        <f>SUM(H27:I27)</f>
        <v>2</v>
      </c>
      <c r="H27" s="41" t="n">
        <v>2</v>
      </c>
      <c r="I27" s="41" t="n">
        <v>0</v>
      </c>
      <c r="J27" s="41" t="n">
        <v>1</v>
      </c>
      <c r="K27" s="41" t="n">
        <v>0</v>
      </c>
      <c r="L27" s="52" t="s">
        <v>29</v>
      </c>
      <c r="M27" s="41" t="n">
        <v>4</v>
      </c>
      <c r="N27" s="41" t="s">
        <v>30</v>
      </c>
      <c r="O27" s="41" t="s">
        <v>30</v>
      </c>
      <c r="P27" s="41" t="s">
        <v>31</v>
      </c>
      <c r="Q27" s="41" t="s">
        <v>39</v>
      </c>
      <c r="R27" s="41" t="s">
        <v>33</v>
      </c>
      <c r="S27" s="41" t="s">
        <v>34</v>
      </c>
      <c r="T27" s="41" t="s">
        <v>34</v>
      </c>
      <c r="U27" s="41" t="s">
        <v>46</v>
      </c>
      <c r="V27" s="41" t="s">
        <v>34</v>
      </c>
      <c r="W27" s="41" t="s">
        <v>35</v>
      </c>
      <c r="X27" s="41" t="n">
        <v>6</v>
      </c>
      <c r="Y27" s="41" t="s">
        <v>34</v>
      </c>
      <c r="Z27" s="48" t="s">
        <v>36</v>
      </c>
      <c r="AA27" s="46" t="s">
        <v>37</v>
      </c>
      <c r="AB27" t="s">
        <v>38</v>
      </c>
    </row>
    <row r="28" spans="1:28">
      <c r="A28" s="39">
        <f>B28-DATE(2022,10,11)</f>
        <v>17</v>
      </c>
      <c r="B28" s="40" t="n">
        <v>44862</v>
      </c>
      <c r="C28" s="41" t="n">
        <v>6</v>
      </c>
      <c r="D28" s="41" t="s">
        <v>28</v>
      </c>
      <c r="E28" s="42" t="n">
        <v>19</v>
      </c>
      <c r="F28" s="41" t="n">
        <v>4</v>
      </c>
      <c r="G28" s="41">
        <f>SUM(H28:I28)</f>
        <v>2</v>
      </c>
      <c r="H28" s="41" t="n">
        <v>2</v>
      </c>
      <c r="I28" s="41" t="n">
        <v>0</v>
      </c>
      <c r="J28" s="41" t="n">
        <v>1</v>
      </c>
      <c r="K28" s="41" t="n">
        <v>0</v>
      </c>
      <c r="L28" s="52" t="s">
        <v>29</v>
      </c>
      <c r="M28" s="41" t="n">
        <v>4</v>
      </c>
      <c r="N28" s="41" t="s">
        <v>30</v>
      </c>
      <c r="O28" s="41" t="s">
        <v>30</v>
      </c>
      <c r="P28" s="41" t="s">
        <v>31</v>
      </c>
      <c r="Q28" s="41" t="s">
        <v>39</v>
      </c>
      <c r="R28" s="41" t="s">
        <v>33</v>
      </c>
      <c r="S28" s="41" t="s">
        <v>34</v>
      </c>
      <c r="T28" s="41" t="s">
        <v>34</v>
      </c>
      <c r="U28" s="41" t="s">
        <v>46</v>
      </c>
      <c r="V28" s="41" t="s">
        <v>34</v>
      </c>
      <c r="W28" s="41" t="s">
        <v>35</v>
      </c>
      <c r="X28" s="41" t="n">
        <v>15</v>
      </c>
      <c r="Y28" s="41" t="s">
        <v>34</v>
      </c>
      <c r="Z28" s="48" t="s">
        <v>36</v>
      </c>
      <c r="AA28" s="46" t="s">
        <v>37</v>
      </c>
      <c r="AB28" t="s">
        <v>38</v>
      </c>
    </row>
    <row r="29" spans="1:28">
      <c r="A29" s="39">
        <f>B29-DATE(2022,10,11)</f>
        <v>17</v>
      </c>
      <c r="B29" s="40" t="n">
        <v>44862</v>
      </c>
      <c r="C29" s="41" t="n">
        <v>6</v>
      </c>
      <c r="D29" s="41" t="s">
        <v>28</v>
      </c>
      <c r="E29" s="42" t="n">
        <v>19</v>
      </c>
      <c r="F29" s="41" t="n">
        <v>4</v>
      </c>
      <c r="G29" s="41">
        <f>SUM(H29:I29)</f>
        <v>2</v>
      </c>
      <c r="H29" s="41" t="n">
        <v>2</v>
      </c>
      <c r="I29" s="41" t="n">
        <v>0</v>
      </c>
      <c r="J29" s="41" t="n">
        <v>1</v>
      </c>
      <c r="K29" s="41" t="n">
        <v>0</v>
      </c>
      <c r="L29" s="52" t="s">
        <v>29</v>
      </c>
      <c r="M29" s="41" t="n">
        <v>4</v>
      </c>
      <c r="N29" s="41" t="s">
        <v>30</v>
      </c>
      <c r="O29" s="41" t="s">
        <v>30</v>
      </c>
      <c r="P29" s="41" t="s">
        <v>31</v>
      </c>
      <c r="Q29" s="41" t="s">
        <v>39</v>
      </c>
      <c r="R29" s="41" t="s">
        <v>33</v>
      </c>
      <c r="S29" s="41" t="s">
        <v>34</v>
      </c>
      <c r="T29" s="41" t="s">
        <v>34</v>
      </c>
      <c r="U29" s="41" t="s">
        <v>46</v>
      </c>
      <c r="V29" s="41" t="s">
        <v>34</v>
      </c>
      <c r="W29" s="41" t="s">
        <v>35</v>
      </c>
      <c r="X29" s="41" t="n">
        <v>30</v>
      </c>
      <c r="Y29" s="41" t="s">
        <v>34</v>
      </c>
      <c r="Z29" s="48" t="s">
        <v>36</v>
      </c>
      <c r="AA29" s="46" t="s">
        <v>37</v>
      </c>
      <c r="AB29" t="s">
        <v>38</v>
      </c>
    </row>
    <row r="30" spans="1:28">
      <c r="A30" s="35">
        <f>B30-DATE(2022,10,11)</f>
        <v>21</v>
      </c>
      <c r="B30" s="36" t="n">
        <v>44866</v>
      </c>
      <c r="C30" s="37" t="n">
        <v>6</v>
      </c>
      <c r="D30" s="37" t="s">
        <v>28</v>
      </c>
      <c r="E30" s="38" t="n">
        <v>19</v>
      </c>
      <c r="F30" s="37" t="n">
        <v>3</v>
      </c>
      <c r="G30" s="37">
        <f>SUM(H30:I30)</f>
        <v>6</v>
      </c>
      <c r="H30" s="37" t="n">
        <v>6</v>
      </c>
      <c r="I30" s="37" t="n">
        <v>0</v>
      </c>
      <c r="J30" s="37" t="n">
        <v>0</v>
      </c>
      <c r="K30" s="37" t="n">
        <v>0</v>
      </c>
      <c r="L30" s="51" t="s">
        <v>47</v>
      </c>
      <c r="M30" s="37" t="n">
        <v>1</v>
      </c>
      <c r="N30" s="37" t="s">
        <v>30</v>
      </c>
      <c r="O30" s="37" t="s">
        <v>30</v>
      </c>
      <c r="P30" s="37" t="s">
        <v>48</v>
      </c>
      <c r="Q30" s="37" t="s">
        <v>30</v>
      </c>
      <c r="R30" s="37" t="s">
        <v>30</v>
      </c>
      <c r="S30" s="37" t="s">
        <v>30</v>
      </c>
      <c r="T30" s="37" t="s">
        <v>30</v>
      </c>
      <c r="U30" s="37" t="s">
        <v>34</v>
      </c>
      <c r="V30" s="37" t="s">
        <v>34</v>
      </c>
      <c r="W30" s="37" t="s">
        <v>35</v>
      </c>
      <c r="X30" s="37" t="n">
        <v>9</v>
      </c>
      <c r="Y30" s="37" t="s">
        <v>34</v>
      </c>
      <c r="Z30" s="37"/>
      <c r="AA30" s="45" t="s">
        <v>37</v>
      </c>
      <c r="AB30" t="s">
        <v>38</v>
      </c>
    </row>
    <row r="31" spans="1:28">
      <c r="A31" s="78">
        <f>B31-DATE(2022,10,11)</f>
        <v>21</v>
      </c>
      <c r="B31" s="79" t="n">
        <v>44866</v>
      </c>
      <c r="C31" s="80" t="n">
        <v>6</v>
      </c>
      <c r="D31" s="80" t="s">
        <v>49</v>
      </c>
      <c r="E31" s="80" t="n">
        <v>20</v>
      </c>
      <c r="F31" s="80" t="n">
        <v>2</v>
      </c>
      <c r="G31" s="80">
        <f>SUM(H31:I31)</f>
        <v>6</v>
      </c>
      <c r="H31" s="80" t="n">
        <v>6</v>
      </c>
      <c r="I31" s="80" t="n">
        <v>0</v>
      </c>
      <c r="J31" s="80" t="n">
        <v>0</v>
      </c>
      <c r="K31" s="80" t="n">
        <v>0</v>
      </c>
      <c r="L31" s="81" t="s">
        <v>50</v>
      </c>
      <c r="M31" s="82" t="n">
        <v>3</v>
      </c>
      <c r="N31" s="80" t="s">
        <v>30</v>
      </c>
      <c r="O31" s="80" t="s">
        <v>30</v>
      </c>
      <c r="P31" s="80" t="s">
        <v>48</v>
      </c>
      <c r="Q31" s="80"/>
      <c r="R31" s="80"/>
      <c r="S31" s="80"/>
      <c r="T31" s="80"/>
      <c r="U31" s="80" t="s">
        <v>46</v>
      </c>
      <c r="V31" s="80" t="s">
        <v>34</v>
      </c>
      <c r="W31" s="80" t="s">
        <v>35</v>
      </c>
      <c r="X31" s="80" t="n">
        <v>31</v>
      </c>
      <c r="Y31" s="80" t="s">
        <v>34</v>
      </c>
      <c r="Z31" s="83" t="s">
        <v>36</v>
      </c>
      <c r="AA31" s="84" t="s">
        <v>37</v>
      </c>
      <c r="AB31" t="s">
        <v>38</v>
      </c>
    </row>
    <row r="32" spans="1:28">
      <c r="A32" s="85">
        <f>B32-DATE(2022,10,11)</f>
        <v>21</v>
      </c>
      <c r="B32" s="86" t="n">
        <v>44866</v>
      </c>
      <c r="C32" s="87" t="n">
        <v>6</v>
      </c>
      <c r="D32" s="87" t="s">
        <v>49</v>
      </c>
      <c r="E32" s="87" t="n">
        <v>20</v>
      </c>
      <c r="F32" s="87" t="n">
        <v>2</v>
      </c>
      <c r="G32" s="87">
        <f>SUM(H32:I32)</f>
        <v>6</v>
      </c>
      <c r="H32" s="87" t="n">
        <v>6</v>
      </c>
      <c r="I32" s="87" t="n">
        <v>0</v>
      </c>
      <c r="J32" s="87" t="n">
        <v>0</v>
      </c>
      <c r="K32" s="87" t="n">
        <v>0</v>
      </c>
      <c r="L32" s="88" t="s">
        <v>50</v>
      </c>
      <c r="M32" s="89" t="n">
        <v>3</v>
      </c>
      <c r="N32" s="87" t="s">
        <v>30</v>
      </c>
      <c r="O32" s="87" t="s">
        <v>30</v>
      </c>
      <c r="P32" s="87" t="s">
        <v>48</v>
      </c>
      <c r="Q32" s="87"/>
      <c r="R32" s="87"/>
      <c r="S32" s="87"/>
      <c r="T32" s="87"/>
      <c r="U32" s="87" t="s">
        <v>46</v>
      </c>
      <c r="V32" s="87" t="s">
        <v>34</v>
      </c>
      <c r="W32" s="87" t="s">
        <v>35</v>
      </c>
      <c r="X32" s="87" t="n">
        <v>29</v>
      </c>
      <c r="Y32" s="87" t="s">
        <v>34</v>
      </c>
      <c r="Z32" s="90" t="s">
        <v>36</v>
      </c>
      <c r="AA32" s="91" t="s">
        <v>37</v>
      </c>
      <c r="AB32" t="s">
        <v>38</v>
      </c>
    </row>
    <row r="33" spans="1:28">
      <c r="A33" s="85">
        <f>B33-DATE(2022,10,11)</f>
        <v>21</v>
      </c>
      <c r="B33" s="86" t="n">
        <v>44866</v>
      </c>
      <c r="C33" s="87" t="n">
        <v>6</v>
      </c>
      <c r="D33" s="87" t="s">
        <v>49</v>
      </c>
      <c r="E33" s="87" t="n">
        <v>20</v>
      </c>
      <c r="F33" s="87" t="n">
        <v>2</v>
      </c>
      <c r="G33" s="87">
        <f>SUM(H33:I33)</f>
        <v>6</v>
      </c>
      <c r="H33" s="87" t="n">
        <v>6</v>
      </c>
      <c r="I33" s="87" t="n">
        <v>0</v>
      </c>
      <c r="J33" s="87" t="n">
        <v>0</v>
      </c>
      <c r="K33" s="87" t="n">
        <v>0</v>
      </c>
      <c r="L33" s="88" t="s">
        <v>50</v>
      </c>
      <c r="M33" s="89" t="n">
        <v>3</v>
      </c>
      <c r="N33" s="87" t="s">
        <v>30</v>
      </c>
      <c r="O33" s="87" t="s">
        <v>30</v>
      </c>
      <c r="P33" s="87" t="s">
        <v>48</v>
      </c>
      <c r="Q33" s="87"/>
      <c r="R33" s="87"/>
      <c r="S33" s="87"/>
      <c r="T33" s="87"/>
      <c r="U33" s="87" t="s">
        <v>46</v>
      </c>
      <c r="V33" s="87" t="s">
        <v>34</v>
      </c>
      <c r="W33" s="87" t="s">
        <v>35</v>
      </c>
      <c r="X33" s="87" t="s">
        <v>30</v>
      </c>
      <c r="Y33" s="87" t="s">
        <v>34</v>
      </c>
      <c r="Z33" s="90" t="s">
        <v>36</v>
      </c>
      <c r="AA33" s="91" t="s">
        <v>37</v>
      </c>
      <c r="AB33" t="s">
        <v>38</v>
      </c>
    </row>
    <row r="34" spans="1:28">
      <c r="A34" s="35">
        <f>B34-DATE(2022,10,11)</f>
        <v>24</v>
      </c>
      <c r="B34" s="36" t="n">
        <v>44869</v>
      </c>
      <c r="C34" s="37" t="n">
        <v>6</v>
      </c>
      <c r="D34" s="37" t="s">
        <v>28</v>
      </c>
      <c r="E34" s="38" t="n">
        <v>19</v>
      </c>
      <c r="F34" s="37" t="n">
        <v>2</v>
      </c>
      <c r="G34" s="37">
        <f>SUM(H34:I34)</f>
        <v>5</v>
      </c>
      <c r="H34" s="37" t="n">
        <v>5</v>
      </c>
      <c r="I34" s="37" t="n">
        <v>0</v>
      </c>
      <c r="J34" s="37" t="n">
        <v>0</v>
      </c>
      <c r="K34" s="37" t="n">
        <v>0</v>
      </c>
      <c r="L34" s="51" t="s">
        <v>29</v>
      </c>
      <c r="M34" s="92" t="n">
        <v>2</v>
      </c>
      <c r="N34" s="37" t="s">
        <v>30</v>
      </c>
      <c r="O34" s="37" t="s">
        <v>30</v>
      </c>
      <c r="P34" s="37" t="s">
        <v>31</v>
      </c>
      <c r="Q34" s="37" t="s">
        <v>39</v>
      </c>
      <c r="R34" s="37" t="s">
        <v>33</v>
      </c>
      <c r="S34" s="37" t="s">
        <v>34</v>
      </c>
      <c r="T34" s="37" t="s">
        <v>34</v>
      </c>
      <c r="U34" s="37" t="s">
        <v>46</v>
      </c>
      <c r="V34" s="37" t="s">
        <v>34</v>
      </c>
      <c r="W34" s="37" t="s">
        <v>35</v>
      </c>
      <c r="X34" s="37" t="n">
        <v>25</v>
      </c>
      <c r="Y34" s="37" t="s">
        <v>51</v>
      </c>
      <c r="Z34" s="37"/>
      <c r="AA34" s="45" t="s">
        <v>37</v>
      </c>
      <c r="AB34" t="s">
        <v>38</v>
      </c>
    </row>
    <row r="35" spans="1:28">
      <c r="A35" s="93">
        <f>B35-DATE(2022,10,11)</f>
        <v>24</v>
      </c>
      <c r="B35" s="94" t="n">
        <v>44869</v>
      </c>
      <c r="C35" s="95" t="n">
        <v>6</v>
      </c>
      <c r="D35" s="95" t="s">
        <v>28</v>
      </c>
      <c r="E35" s="96" t="n">
        <v>19</v>
      </c>
      <c r="F35" s="95" t="n">
        <v>2</v>
      </c>
      <c r="G35" s="95">
        <f>SUM(H35:I35)</f>
        <v>5</v>
      </c>
      <c r="H35" s="95" t="n">
        <v>5</v>
      </c>
      <c r="I35" s="95" t="n">
        <v>0</v>
      </c>
      <c r="J35" s="95" t="n">
        <v>0</v>
      </c>
      <c r="K35" s="95" t="n">
        <v>0</v>
      </c>
      <c r="L35" s="97" t="s">
        <v>29</v>
      </c>
      <c r="M35" s="98" t="n">
        <v>2</v>
      </c>
      <c r="N35" s="95"/>
      <c r="O35" s="95"/>
      <c r="P35" s="95" t="s">
        <v>31</v>
      </c>
      <c r="Q35" s="95" t="s">
        <v>39</v>
      </c>
      <c r="R35" s="95" t="s">
        <v>33</v>
      </c>
      <c r="S35" s="95" t="s">
        <v>34</v>
      </c>
      <c r="T35" s="95" t="s">
        <v>34</v>
      </c>
      <c r="U35" s="95" t="s">
        <v>46</v>
      </c>
      <c r="V35" s="95" t="s">
        <v>34</v>
      </c>
      <c r="W35" s="95" t="s">
        <v>35</v>
      </c>
      <c r="X35" s="95" t="n">
        <v>43</v>
      </c>
      <c r="Y35" s="95" t="s">
        <v>51</v>
      </c>
      <c r="Z35" s="95"/>
      <c r="AA35" s="99" t="s">
        <v>37</v>
      </c>
      <c r="AB35" t="s">
        <v>38</v>
      </c>
    </row>
    <row r="36" spans="1:28">
      <c r="A36" s="16">
        <f>B36-DATE(2022,10,11)</f>
        <v>24</v>
      </c>
      <c r="B36" s="1" t="n">
        <v>44869</v>
      </c>
      <c r="C36" t="n">
        <v>6</v>
      </c>
      <c r="D36" t="s">
        <v>52</v>
      </c>
      <c r="E36" s="2" t="n">
        <v>20</v>
      </c>
      <c r="F36" t="n">
        <v>4</v>
      </c>
      <c r="G36">
        <f>SUM(H36:I36)</f>
        <v>5</v>
      </c>
      <c r="H36" t="n">
        <v>5</v>
      </c>
      <c r="I36" t="n">
        <v>0</v>
      </c>
      <c r="J36" t="n">
        <v>0</v>
      </c>
      <c r="K36" t="n">
        <v>0</v>
      </c>
      <c r="L36" s="25" t="s">
        <v>53</v>
      </c>
      <c r="M36" s="3" t="n">
        <v>4</v>
      </c>
      <c r="N36" t="s">
        <v>30</v>
      </c>
      <c r="O36" t="s">
        <v>30</v>
      </c>
      <c r="P36" t="s">
        <v>31</v>
      </c>
      <c r="Q36" t="s">
        <v>46</v>
      </c>
      <c r="R36" t="s">
        <v>33</v>
      </c>
      <c r="S36" t="s">
        <v>34</v>
      </c>
      <c r="T36" t="s">
        <v>54</v>
      </c>
      <c r="U36" t="s">
        <v>46</v>
      </c>
      <c r="V36" t="s">
        <v>34</v>
      </c>
      <c r="W36" t="s">
        <v>35</v>
      </c>
      <c r="X36" t="n">
        <v>53</v>
      </c>
      <c r="Y36" t="s">
        <v>34</v>
      </c>
      <c r="AA36" s="55" t="s">
        <v>37</v>
      </c>
      <c r="AB36" t="s">
        <v>38</v>
      </c>
    </row>
    <row r="37" spans="1:28">
      <c r="A37" s="16">
        <f>B37-DATE(2022,10,11)</f>
        <v>24</v>
      </c>
      <c r="B37" s="1" t="n">
        <v>44869</v>
      </c>
      <c r="C37" t="n">
        <v>6</v>
      </c>
      <c r="D37" t="s">
        <v>52</v>
      </c>
      <c r="E37" s="2" t="n">
        <v>20</v>
      </c>
      <c r="F37" t="n">
        <v>4</v>
      </c>
      <c r="G37">
        <f>SUM(H37:I37)</f>
        <v>5</v>
      </c>
      <c r="H37" t="n">
        <v>5</v>
      </c>
      <c r="I37" t="n">
        <v>0</v>
      </c>
      <c r="J37" t="n">
        <v>0</v>
      </c>
      <c r="K37" t="n">
        <v>0</v>
      </c>
      <c r="M37" s="3" t="n">
        <v>4</v>
      </c>
      <c r="N37" t="s">
        <v>30</v>
      </c>
      <c r="O37" t="s">
        <v>30</v>
      </c>
      <c r="P37" t="s">
        <v>31</v>
      </c>
      <c r="Q37" t="s">
        <v>46</v>
      </c>
      <c r="R37" t="s">
        <v>33</v>
      </c>
      <c r="S37" t="s">
        <v>34</v>
      </c>
      <c r="T37" t="s">
        <v>54</v>
      </c>
      <c r="U37" t="s">
        <v>46</v>
      </c>
      <c r="V37" t="s">
        <v>34</v>
      </c>
      <c r="W37" t="s">
        <v>35</v>
      </c>
      <c r="X37" t="n">
        <v>41</v>
      </c>
      <c r="Y37" t="s">
        <v>34</v>
      </c>
      <c r="AA37" s="55" t="s">
        <v>37</v>
      </c>
      <c r="AB37" t="s">
        <v>38</v>
      </c>
    </row>
    <row r="38" spans="1:28">
      <c r="A38" s="16">
        <f>B38-DATE(2022,10,11)</f>
        <v>24</v>
      </c>
      <c r="B38" s="1" t="n">
        <v>44869</v>
      </c>
      <c r="C38" t="n">
        <v>6</v>
      </c>
      <c r="D38" t="s">
        <v>52</v>
      </c>
      <c r="E38" s="2" t="n">
        <v>20</v>
      </c>
      <c r="F38" t="n">
        <v>4</v>
      </c>
      <c r="G38">
        <f>SUM(H38:I38)</f>
        <v>5</v>
      </c>
      <c r="H38" t="n">
        <v>5</v>
      </c>
      <c r="I38" t="n">
        <v>0</v>
      </c>
      <c r="J38" t="n">
        <v>0</v>
      </c>
      <c r="K38" t="n">
        <v>0</v>
      </c>
      <c r="M38" s="3" t="n">
        <v>4</v>
      </c>
      <c r="N38" t="s">
        <v>30</v>
      </c>
      <c r="O38" t="s">
        <v>30</v>
      </c>
      <c r="P38" t="s">
        <v>31</v>
      </c>
      <c r="Q38" t="s">
        <v>46</v>
      </c>
      <c r="R38" t="s">
        <v>33</v>
      </c>
      <c r="S38" t="s">
        <v>34</v>
      </c>
      <c r="T38" t="s">
        <v>54</v>
      </c>
      <c r="U38" t="s">
        <v>46</v>
      </c>
      <c r="V38" t="s">
        <v>34</v>
      </c>
      <c r="W38" t="s">
        <v>35</v>
      </c>
      <c r="X38" t="n">
        <v>43</v>
      </c>
      <c r="Y38" t="s">
        <v>34</v>
      </c>
      <c r="AA38" s="55" t="s">
        <v>37</v>
      </c>
      <c r="AB38" t="s">
        <v>38</v>
      </c>
    </row>
    <row r="39" spans="1:28" hidden="1">
      <c r="A39" s="16">
        <f>B39-DATE(2022,10,11)</f>
        <v>24</v>
      </c>
      <c r="B39" s="1" t="n">
        <v>44869</v>
      </c>
      <c r="C39" t="n">
        <v>6</v>
      </c>
      <c r="D39" t="s">
        <v>52</v>
      </c>
      <c r="E39" s="2" t="n">
        <v>20</v>
      </c>
      <c r="F39" t="n">
        <v>4</v>
      </c>
      <c r="G39">
        <f>SUM(H39:I39)</f>
        <v>5</v>
      </c>
      <c r="H39" t="n">
        <v>5</v>
      </c>
      <c r="I39" t="n">
        <v>0</v>
      </c>
      <c r="J39" t="n">
        <v>0</v>
      </c>
      <c r="K39" t="n">
        <v>0</v>
      </c>
      <c r="M39" s="3" t="n">
        <v>4</v>
      </c>
      <c r="N39" t="s">
        <v>30</v>
      </c>
      <c r="O39" t="s">
        <v>30</v>
      </c>
      <c r="P39" t="s">
        <v>31</v>
      </c>
      <c r="Q39" t="s">
        <v>46</v>
      </c>
      <c r="R39" t="s">
        <v>33</v>
      </c>
      <c r="S39" t="s">
        <v>34</v>
      </c>
      <c r="T39" t="s">
        <v>54</v>
      </c>
      <c r="U39" t="s">
        <v>40</v>
      </c>
      <c r="V39" t="s">
        <v>40</v>
      </c>
      <c r="W39" t="s">
        <v>40</v>
      </c>
      <c r="AA39" s="17"/>
      <c r="AB39"/>
      <extLst>
        <ext uri="smNativeData">
          <pm:rowDef xmlns:pm="smNativeData" id="1749180287" r="39" hidden="0" collapsedDB="1" collapsedOL="0"/>
        </ext>
      </extLst>
    </row>
    <row r="40" spans="1:28">
      <c r="A40" s="11">
        <f>B40-DATE(2022,10,11)</f>
        <v>24</v>
      </c>
      <c r="B40" s="12" t="n">
        <v>44869</v>
      </c>
      <c r="C40" s="13" t="n">
        <v>6</v>
      </c>
      <c r="D40" s="13" t="s">
        <v>55</v>
      </c>
      <c r="E40" s="14" t="n">
        <v>20</v>
      </c>
      <c r="F40" s="13" t="n">
        <v>2</v>
      </c>
      <c r="G40" s="13">
        <f>SUM(H40:I40)</f>
        <v>8</v>
      </c>
      <c r="H40" s="13" t="n">
        <v>8</v>
      </c>
      <c r="I40" s="13" t="n">
        <v>0</v>
      </c>
      <c r="J40" s="13" t="n">
        <v>0</v>
      </c>
      <c r="K40" s="13" t="n">
        <v>0</v>
      </c>
      <c r="L40" s="26" t="s">
        <v>29</v>
      </c>
      <c r="M40" s="49" t="n">
        <v>2</v>
      </c>
      <c r="N40" s="13" t="s">
        <v>30</v>
      </c>
      <c r="O40" s="13" t="s">
        <v>30</v>
      </c>
      <c r="P40" s="13" t="s">
        <v>56</v>
      </c>
      <c r="Q40" s="13" t="s">
        <v>46</v>
      </c>
      <c r="R40" s="13" t="s">
        <v>33</v>
      </c>
      <c r="S40" s="13" t="s">
        <v>34</v>
      </c>
      <c r="T40" s="13" t="s">
        <v>57</v>
      </c>
      <c r="U40" s="13" t="s">
        <v>46</v>
      </c>
      <c r="V40" s="13" t="s">
        <v>34</v>
      </c>
      <c r="W40" s="13" t="s">
        <v>35</v>
      </c>
      <c r="X40" s="13" t="n">
        <v>72</v>
      </c>
      <c r="Y40" s="13" t="s">
        <v>34</v>
      </c>
      <c r="Z40" s="13"/>
      <c r="AA40" s="100" t="s">
        <v>37</v>
      </c>
      <c r="AB40" t="s">
        <v>38</v>
      </c>
    </row>
    <row r="41" spans="1:28">
      <c r="A41" s="31">
        <f>B41-DATE(2022,10,11)</f>
        <v>24</v>
      </c>
      <c r="B41" s="32" t="n">
        <v>44869</v>
      </c>
      <c r="C41" s="33" t="n">
        <v>6</v>
      </c>
      <c r="D41" s="33" t="s">
        <v>55</v>
      </c>
      <c r="E41" s="5"/>
      <c r="F41" s="33"/>
      <c r="G41" s="33"/>
      <c r="H41" s="33"/>
      <c r="I41" s="33"/>
      <c r="J41" s="33"/>
      <c r="K41" s="33"/>
      <c r="L41" s="53"/>
      <c r="M41" s="50" t="n">
        <v>2</v>
      </c>
      <c r="N41" s="33"/>
      <c r="O41" s="33"/>
      <c r="P41" s="33"/>
      <c r="Q41" s="33" t="s">
        <v>58</v>
      </c>
      <c r="R41" s="33" t="s">
        <v>34</v>
      </c>
      <c r="S41" s="33" t="s">
        <v>34</v>
      </c>
      <c r="T41" s="33" t="s">
        <v>34</v>
      </c>
      <c r="U41" s="33" t="s">
        <v>34</v>
      </c>
      <c r="V41" s="33" t="s">
        <v>34</v>
      </c>
      <c r="W41" s="33" t="s">
        <v>59</v>
      </c>
      <c r="X41" s="33" t="n">
        <v>0</v>
      </c>
      <c r="Y41" s="33" t="s">
        <v>34</v>
      </c>
      <c r="Z41" s="33"/>
      <c r="AA41" s="101" t="s">
        <v>60</v>
      </c>
      <c r="AB41" t="s">
        <v>38</v>
      </c>
    </row>
    <row r="42" spans="1:28">
      <c r="A42" s="39">
        <f>B42-DATE(2022,10,11)</f>
        <v>28</v>
      </c>
      <c r="B42" s="40" t="n">
        <v>44873</v>
      </c>
      <c r="C42" s="41" t="n">
        <v>6</v>
      </c>
      <c r="D42" s="41" t="s">
        <v>28</v>
      </c>
      <c r="E42" s="42" t="n">
        <v>19</v>
      </c>
      <c r="F42" s="41" t="n">
        <v>1</v>
      </c>
      <c r="G42" s="41">
        <f>SUM(H42:I42)</f>
        <v>9</v>
      </c>
      <c r="H42" s="41" t="n">
        <v>8</v>
      </c>
      <c r="I42" s="41" t="n">
        <v>1</v>
      </c>
      <c r="J42" s="41" t="n">
        <v>1</v>
      </c>
      <c r="K42" s="41" t="n">
        <v>0</v>
      </c>
      <c r="L42" s="52" t="s">
        <v>61</v>
      </c>
      <c r="M42" s="56" t="n">
        <v>12</v>
      </c>
      <c r="N42" s="41" t="s">
        <v>30</v>
      </c>
      <c r="O42" s="41" t="s">
        <v>30</v>
      </c>
      <c r="P42" s="41" t="s">
        <v>31</v>
      </c>
      <c r="Q42" s="41" t="s">
        <v>34</v>
      </c>
      <c r="R42" s="41" t="s">
        <v>33</v>
      </c>
      <c r="S42" s="41" t="s">
        <v>34</v>
      </c>
      <c r="T42" s="41" t="s">
        <v>34</v>
      </c>
      <c r="U42" s="41" t="s">
        <v>34</v>
      </c>
      <c r="V42" s="41" t="s">
        <v>33</v>
      </c>
      <c r="W42" s="41" t="s">
        <v>35</v>
      </c>
      <c r="X42" s="41"/>
      <c r="Y42" s="41" t="n">
        <v>48</v>
      </c>
      <c r="Z42" s="41"/>
      <c r="AA42" s="46" t="s">
        <v>37</v>
      </c>
      <c r="AB42" t="s">
        <v>38</v>
      </c>
    </row>
    <row r="43" spans="1:28">
      <c r="A43" s="39">
        <f>B43-DATE(2022,10,11)</f>
        <v>28</v>
      </c>
      <c r="B43" s="40" t="n">
        <v>44873</v>
      </c>
      <c r="C43" s="41" t="n">
        <v>6</v>
      </c>
      <c r="D43" s="41" t="s">
        <v>28</v>
      </c>
      <c r="E43" s="42" t="n">
        <v>19</v>
      </c>
      <c r="F43" s="41" t="n">
        <v>1</v>
      </c>
      <c r="G43" s="41">
        <f>SUM(H43:I43)</f>
        <v>9</v>
      </c>
      <c r="H43" s="41" t="n">
        <v>8</v>
      </c>
      <c r="I43" s="41" t="n">
        <v>1</v>
      </c>
      <c r="J43" s="41" t="n">
        <v>1</v>
      </c>
      <c r="K43" s="41" t="n">
        <v>0</v>
      </c>
      <c r="L43" s="52"/>
      <c r="M43" s="56" t="n">
        <v>12</v>
      </c>
      <c r="N43" s="41" t="s">
        <v>30</v>
      </c>
      <c r="O43" s="41" t="s">
        <v>30</v>
      </c>
      <c r="P43" s="41" t="s">
        <v>31</v>
      </c>
      <c r="Q43" s="41" t="s">
        <v>46</v>
      </c>
      <c r="R43" s="41" t="s">
        <v>33</v>
      </c>
      <c r="S43" s="41" t="s">
        <v>34</v>
      </c>
      <c r="T43" s="41" t="s">
        <v>34</v>
      </c>
      <c r="U43" s="41" t="s">
        <v>34</v>
      </c>
      <c r="V43" s="41" t="s">
        <v>33</v>
      </c>
      <c r="W43" s="41" t="s">
        <v>35</v>
      </c>
      <c r="X43" s="41"/>
      <c r="Y43" s="41" t="n">
        <v>36</v>
      </c>
      <c r="Z43" s="41"/>
      <c r="AA43" s="46" t="s">
        <v>37</v>
      </c>
      <c r="AB43" t="s">
        <v>38</v>
      </c>
    </row>
    <row r="44" spans="1:28">
      <c r="A44" s="39">
        <f>B44-DATE(2022,10,11)</f>
        <v>28</v>
      </c>
      <c r="B44" s="40" t="n">
        <v>44873</v>
      </c>
      <c r="C44" s="41" t="n">
        <v>6</v>
      </c>
      <c r="D44" s="41" t="s">
        <v>28</v>
      </c>
      <c r="E44" s="42" t="n">
        <v>19</v>
      </c>
      <c r="F44" s="41" t="n">
        <v>1</v>
      </c>
      <c r="G44" s="41">
        <f>SUM(H44:I44)</f>
        <v>9</v>
      </c>
      <c r="H44" s="41" t="n">
        <v>8</v>
      </c>
      <c r="I44" s="41" t="n">
        <v>1</v>
      </c>
      <c r="J44" s="41" t="n">
        <v>1</v>
      </c>
      <c r="K44" s="41" t="n">
        <v>0</v>
      </c>
      <c r="L44" s="52"/>
      <c r="M44" s="56" t="n">
        <v>12</v>
      </c>
      <c r="N44" s="41" t="s">
        <v>30</v>
      </c>
      <c r="O44" s="41" t="s">
        <v>30</v>
      </c>
      <c r="P44" s="41" t="s">
        <v>31</v>
      </c>
      <c r="Q44" s="41"/>
      <c r="R44" s="41"/>
      <c r="S44" s="41"/>
      <c r="T44" s="41"/>
      <c r="U44" s="41"/>
      <c r="V44" s="41" t="s">
        <v>33</v>
      </c>
      <c r="W44" s="41" t="s">
        <v>35</v>
      </c>
      <c r="X44" s="41"/>
      <c r="Y44" s="41"/>
      <c r="Z44" s="41"/>
      <c r="AA44" s="46" t="s">
        <v>37</v>
      </c>
      <c r="AB44" t="s">
        <v>38</v>
      </c>
    </row>
    <row r="45" spans="1:28">
      <c r="A45" s="39">
        <f>B45-DATE(2022,10,11)</f>
        <v>28</v>
      </c>
      <c r="B45" s="40" t="n">
        <v>44873</v>
      </c>
      <c r="C45" s="41" t="n">
        <v>6</v>
      </c>
      <c r="D45" s="41" t="s">
        <v>28</v>
      </c>
      <c r="E45" s="42" t="n">
        <v>19</v>
      </c>
      <c r="F45" s="41" t="n">
        <v>1</v>
      </c>
      <c r="G45" s="41">
        <f>SUM(H45:I45)</f>
        <v>9</v>
      </c>
      <c r="H45" s="41" t="n">
        <v>8</v>
      </c>
      <c r="I45" s="41" t="n">
        <v>1</v>
      </c>
      <c r="J45" s="41" t="n">
        <v>1</v>
      </c>
      <c r="K45" s="41" t="n">
        <v>0</v>
      </c>
      <c r="L45" s="52"/>
      <c r="M45" s="56" t="n">
        <v>12</v>
      </c>
      <c r="N45" s="41" t="s">
        <v>30</v>
      </c>
      <c r="O45" s="41" t="s">
        <v>30</v>
      </c>
      <c r="P45" s="41" t="s">
        <v>31</v>
      </c>
      <c r="Q45" s="41"/>
      <c r="R45" s="41"/>
      <c r="S45" s="41"/>
      <c r="T45" s="41"/>
      <c r="U45" s="41"/>
      <c r="V45" s="41" t="s">
        <v>33</v>
      </c>
      <c r="W45" s="41" t="s">
        <v>35</v>
      </c>
      <c r="X45" s="41"/>
      <c r="Y45" s="41"/>
      <c r="Z45" s="41"/>
      <c r="AA45" s="46" t="s">
        <v>37</v>
      </c>
      <c r="AB45" t="s">
        <v>38</v>
      </c>
    </row>
    <row r="46" spans="1:27" hidden="1">
      <c r="A46" s="39">
        <f>B46-DATE(2022,10,11)</f>
        <v>28</v>
      </c>
      <c r="B46" s="40" t="n">
        <v>44873</v>
      </c>
      <c r="C46" s="41" t="n">
        <v>6</v>
      </c>
      <c r="D46" s="41" t="s">
        <v>28</v>
      </c>
      <c r="E46" s="42" t="n">
        <v>19</v>
      </c>
      <c r="F46" s="41" t="n">
        <v>1</v>
      </c>
      <c r="G46" s="41">
        <f>SUM(H46:I46)</f>
        <v>9</v>
      </c>
      <c r="H46" s="41" t="n">
        <v>8</v>
      </c>
      <c r="I46" s="41" t="n">
        <v>1</v>
      </c>
      <c r="J46" s="41" t="n">
        <v>1</v>
      </c>
      <c r="K46" s="41" t="n">
        <v>0</v>
      </c>
      <c r="L46" s="52"/>
      <c r="M46" s="56" t="n">
        <v>12</v>
      </c>
      <c r="N46" s="41" t="s">
        <v>30</v>
      </c>
      <c r="O46" s="41" t="s">
        <v>30</v>
      </c>
      <c r="P46" s="41" t="s">
        <v>31</v>
      </c>
      <c r="Q46" s="41"/>
      <c r="R46" s="41"/>
      <c r="S46" s="41"/>
      <c r="T46" s="41"/>
      <c r="U46" s="41"/>
      <c r="V46" s="41"/>
      <c r="W46" s="41" t="s">
        <v>33</v>
      </c>
      <c r="X46" s="41"/>
      <c r="Y46" s="41" t="n">
        <v>0</v>
      </c>
      <c r="Z46" s="41"/>
      <c r="AA46" s="44"/>
      <extLst>
        <ext uri="smNativeData">
          <pm:rowDef xmlns:pm="smNativeData" id="1749180287" r="46" hidden="0" collapsedDB="1" collapsedOL="0"/>
        </ext>
      </extLst>
    </row>
    <row r="47" spans="1:28">
      <c r="A47" s="39">
        <f>B47-DATE(2022,10,11)</f>
        <v>28</v>
      </c>
      <c r="B47" s="40" t="n">
        <v>44873</v>
      </c>
      <c r="C47" s="41" t="n">
        <v>6</v>
      </c>
      <c r="D47" s="41" t="s">
        <v>28</v>
      </c>
      <c r="E47" s="42" t="n">
        <v>19</v>
      </c>
      <c r="F47" s="41" t="n">
        <v>1</v>
      </c>
      <c r="G47" s="41">
        <f>SUM(H47:I47)</f>
        <v>9</v>
      </c>
      <c r="H47" s="41" t="n">
        <v>8</v>
      </c>
      <c r="I47" s="41" t="n">
        <v>1</v>
      </c>
      <c r="J47" s="41" t="n">
        <v>1</v>
      </c>
      <c r="K47" s="41" t="n">
        <v>0</v>
      </c>
      <c r="L47" s="52"/>
      <c r="M47" s="56" t="n">
        <v>12</v>
      </c>
      <c r="N47" s="41" t="s">
        <v>30</v>
      </c>
      <c r="O47" s="41" t="s">
        <v>30</v>
      </c>
      <c r="P47" s="41" t="s">
        <v>31</v>
      </c>
      <c r="Q47" s="41"/>
      <c r="R47" s="41"/>
      <c r="S47" s="41"/>
      <c r="T47" s="41"/>
      <c r="U47" s="41"/>
      <c r="V47" s="41"/>
      <c r="W47" s="41" t="s">
        <v>34</v>
      </c>
      <c r="X47" s="41"/>
      <c r="Y47" s="41" t="n">
        <v>0</v>
      </c>
      <c r="Z47" s="41"/>
      <c r="AA47" s="46" t="s">
        <v>60</v>
      </c>
      <c r="AB47" t="s">
        <v>38</v>
      </c>
    </row>
    <row r="48" spans="1:27" hidden="1">
      <c r="A48" s="39">
        <f>B48-DATE(2022,10,11)</f>
        <v>28</v>
      </c>
      <c r="B48" s="40" t="n">
        <v>44873</v>
      </c>
      <c r="C48" s="41" t="n">
        <v>6</v>
      </c>
      <c r="D48" s="41" t="s">
        <v>28</v>
      </c>
      <c r="E48" s="42" t="n">
        <v>19</v>
      </c>
      <c r="F48" s="41" t="n">
        <v>1</v>
      </c>
      <c r="G48" s="41">
        <f>SUM(H48:I48)</f>
        <v>9</v>
      </c>
      <c r="H48" s="41" t="n">
        <v>8</v>
      </c>
      <c r="I48" s="41" t="n">
        <v>1</v>
      </c>
      <c r="J48" s="41" t="n">
        <v>1</v>
      </c>
      <c r="K48" s="41" t="n">
        <v>0</v>
      </c>
      <c r="L48" s="52"/>
      <c r="M48" s="56" t="n">
        <v>12</v>
      </c>
      <c r="N48" s="41" t="s">
        <v>30</v>
      </c>
      <c r="O48" s="41" t="s">
        <v>30</v>
      </c>
      <c r="P48" s="41" t="s">
        <v>31</v>
      </c>
      <c r="Q48" s="41"/>
      <c r="R48" s="41"/>
      <c r="S48" s="41"/>
      <c r="T48" s="41"/>
      <c r="U48" s="41" t="s">
        <v>62</v>
      </c>
      <c r="V48" s="41" t="s">
        <v>33</v>
      </c>
      <c r="W48" s="41" t="s">
        <v>33</v>
      </c>
      <c r="X48" s="41"/>
      <c r="Y48" s="41" t="n">
        <v>0</v>
      </c>
      <c r="Z48" s="41"/>
      <c r="AA48" s="44"/>
      <extLst>
        <ext uri="smNativeData">
          <pm:rowDef xmlns:pm="smNativeData" id="1749180287" r="48" hidden="0" collapsedDB="1" collapsedOL="0"/>
        </ext>
      </extLst>
    </row>
    <row r="49" spans="1:27" hidden="1">
      <c r="A49" s="39">
        <f>B49-DATE(2022,10,11)</f>
        <v>28</v>
      </c>
      <c r="B49" s="40" t="n">
        <v>44873</v>
      </c>
      <c r="C49" s="41" t="n">
        <v>6</v>
      </c>
      <c r="D49" s="41" t="s">
        <v>28</v>
      </c>
      <c r="E49" s="42" t="n">
        <v>19</v>
      </c>
      <c r="F49" s="41" t="n">
        <v>1</v>
      </c>
      <c r="G49" s="41">
        <f>SUM(H49:I49)</f>
        <v>9</v>
      </c>
      <c r="H49" s="41" t="n">
        <v>8</v>
      </c>
      <c r="I49" s="41" t="n">
        <v>1</v>
      </c>
      <c r="J49" s="41" t="n">
        <v>1</v>
      </c>
      <c r="K49" s="41" t="n">
        <v>0</v>
      </c>
      <c r="L49" s="52"/>
      <c r="M49" s="56" t="n">
        <v>12</v>
      </c>
      <c r="N49" s="41" t="s">
        <v>30</v>
      </c>
      <c r="O49" s="41" t="s">
        <v>30</v>
      </c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4"/>
      <extLst>
        <ext uri="smNativeData">
          <pm:rowDef xmlns:pm="smNativeData" id="1749180287" r="49" hidden="0" collapsedDB="1" collapsedOL="0"/>
        </ext>
      </extLst>
    </row>
    <row r="50" spans="1:27" hidden="1">
      <c r="A50" s="39">
        <f>B50-DATE(2022,10,11)</f>
        <v>28</v>
      </c>
      <c r="B50" s="40" t="n">
        <v>44873</v>
      </c>
      <c r="C50" s="41" t="n">
        <v>6</v>
      </c>
      <c r="D50" s="41" t="s">
        <v>28</v>
      </c>
      <c r="E50" s="42" t="n">
        <v>19</v>
      </c>
      <c r="F50" s="41" t="n">
        <v>1</v>
      </c>
      <c r="G50" s="41">
        <f>SUM(H50:I50)</f>
        <v>9</v>
      </c>
      <c r="H50" s="41" t="n">
        <v>8</v>
      </c>
      <c r="I50" s="41" t="n">
        <v>1</v>
      </c>
      <c r="J50" s="41" t="n">
        <v>1</v>
      </c>
      <c r="K50" s="41" t="n">
        <v>0</v>
      </c>
      <c r="L50" s="52"/>
      <c r="M50" s="56" t="n">
        <v>12</v>
      </c>
      <c r="N50" s="41" t="s">
        <v>30</v>
      </c>
      <c r="O50" s="41" t="s">
        <v>30</v>
      </c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4"/>
      <extLst>
        <ext uri="smNativeData">
          <pm:rowDef xmlns:pm="smNativeData" id="1749180287" r="50" hidden="0" collapsedDB="1" collapsedOL="0"/>
        </ext>
      </extLst>
    </row>
    <row r="51" spans="1:27" hidden="1">
      <c r="A51" s="39">
        <f>B51-DATE(2022,10,11)</f>
        <v>28</v>
      </c>
      <c r="B51" s="40" t="n">
        <v>44873</v>
      </c>
      <c r="C51" s="41" t="n">
        <v>6</v>
      </c>
      <c r="D51" s="41" t="s">
        <v>28</v>
      </c>
      <c r="E51" s="42" t="n">
        <v>19</v>
      </c>
      <c r="F51" s="41" t="n">
        <v>1</v>
      </c>
      <c r="G51" s="41">
        <f>SUM(H51:I51)</f>
        <v>9</v>
      </c>
      <c r="H51" s="41" t="n">
        <v>8</v>
      </c>
      <c r="I51" s="41" t="n">
        <v>1</v>
      </c>
      <c r="J51" s="41" t="n">
        <v>1</v>
      </c>
      <c r="K51" s="41" t="n">
        <v>0</v>
      </c>
      <c r="L51" s="52"/>
      <c r="M51" s="56" t="n">
        <v>12</v>
      </c>
      <c r="N51" s="41" t="s">
        <v>30</v>
      </c>
      <c r="O51" s="41" t="s">
        <v>30</v>
      </c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4"/>
      <extLst>
        <ext uri="smNativeData">
          <pm:rowDef xmlns:pm="smNativeData" id="1749180287" r="51" hidden="0" collapsedDB="1" collapsedOL="0"/>
        </ext>
      </extLst>
    </row>
    <row r="52" spans="1:27" hidden="1">
      <c r="A52" s="39">
        <f>B52-DATE(2022,10,11)</f>
        <v>28</v>
      </c>
      <c r="B52" s="40" t="n">
        <v>44873</v>
      </c>
      <c r="C52" s="41" t="n">
        <v>6</v>
      </c>
      <c r="D52" s="41" t="s">
        <v>28</v>
      </c>
      <c r="E52" s="42" t="n">
        <v>19</v>
      </c>
      <c r="F52" s="41" t="n">
        <v>1</v>
      </c>
      <c r="G52" s="41">
        <f>SUM(H52:I52)</f>
        <v>9</v>
      </c>
      <c r="H52" s="41" t="n">
        <v>8</v>
      </c>
      <c r="I52" s="41" t="n">
        <v>1</v>
      </c>
      <c r="J52" s="41" t="n">
        <v>1</v>
      </c>
      <c r="K52" s="41" t="n">
        <v>0</v>
      </c>
      <c r="L52" s="52"/>
      <c r="M52" s="56" t="n">
        <v>12</v>
      </c>
      <c r="N52" s="41" t="s">
        <v>30</v>
      </c>
      <c r="O52" s="41" t="s">
        <v>30</v>
      </c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4"/>
      <extLst>
        <ext uri="smNativeData">
          <pm:rowDef xmlns:pm="smNativeData" id="1749180287" r="52" hidden="0" collapsedDB="1" collapsedOL="0"/>
        </ext>
      </extLst>
    </row>
    <row r="53" spans="1:27" hidden="1">
      <c r="A53" s="39">
        <f>B53-DATE(2022,10,11)</f>
        <v>28</v>
      </c>
      <c r="B53" s="40" t="n">
        <v>44873</v>
      </c>
      <c r="C53" s="41" t="n">
        <v>6</v>
      </c>
      <c r="D53" s="41" t="s">
        <v>28</v>
      </c>
      <c r="E53" s="42" t="n">
        <v>19</v>
      </c>
      <c r="F53" s="41" t="n">
        <v>1</v>
      </c>
      <c r="G53" s="41">
        <f>SUM(H53:I53)</f>
        <v>9</v>
      </c>
      <c r="H53" s="41" t="n">
        <v>8</v>
      </c>
      <c r="I53" s="41" t="n">
        <v>1</v>
      </c>
      <c r="J53" s="41" t="n">
        <v>1</v>
      </c>
      <c r="K53" s="41" t="n">
        <v>0</v>
      </c>
      <c r="L53" s="52"/>
      <c r="M53" s="56" t="n">
        <v>12</v>
      </c>
      <c r="N53" s="41" t="s">
        <v>30</v>
      </c>
      <c r="O53" s="41" t="s">
        <v>30</v>
      </c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4"/>
      <extLst>
        <ext uri="smNativeData">
          <pm:rowDef xmlns:pm="smNativeData" id="1749180287" r="53" hidden="0" collapsedDB="1" collapsedOL="0"/>
        </ext>
      </extLst>
    </row>
    <row r="54" spans="1:28">
      <c r="A54" s="64">
        <f>B54-DATE(2022,10,11)</f>
        <v>28</v>
      </c>
      <c r="B54" s="65" t="n">
        <v>44873</v>
      </c>
      <c r="C54" s="66" t="n">
        <v>6</v>
      </c>
      <c r="D54" s="66" t="s">
        <v>63</v>
      </c>
      <c r="E54" s="67">
        <f>10+10</f>
        <v>20</v>
      </c>
      <c r="F54" s="66" t="n">
        <v>0</v>
      </c>
      <c r="G54" s="66">
        <f>SUM(H54:I54)</f>
        <v>10</v>
      </c>
      <c r="H54" s="66" t="n">
        <v>10</v>
      </c>
      <c r="I54" s="66"/>
      <c r="J54" s="66" t="n">
        <v>0</v>
      </c>
      <c r="K54" s="66" t="n">
        <v>0</v>
      </c>
      <c r="L54" s="68" t="s">
        <v>47</v>
      </c>
      <c r="M54" s="69" t="n">
        <v>1</v>
      </c>
      <c r="N54" s="66" t="n">
        <v>10</v>
      </c>
      <c r="O54" s="66" t="n">
        <v>10</v>
      </c>
      <c r="P54" s="66" t="s">
        <v>31</v>
      </c>
      <c r="Q54" s="66" t="s">
        <v>46</v>
      </c>
      <c r="R54" s="66" t="s">
        <v>33</v>
      </c>
      <c r="S54" s="66" t="s">
        <v>34</v>
      </c>
      <c r="T54" s="66" t="s">
        <v>64</v>
      </c>
      <c r="U54" s="66" t="s">
        <v>34</v>
      </c>
      <c r="V54" s="66" t="s">
        <v>33</v>
      </c>
      <c r="W54" s="66" t="s">
        <v>35</v>
      </c>
      <c r="X54" s="66" t="n">
        <v>30</v>
      </c>
      <c r="Y54" s="66" t="s">
        <v>51</v>
      </c>
      <c r="Z54" s="66"/>
      <c r="AA54" s="70" t="s">
        <v>37</v>
      </c>
      <c r="AB54" t="s">
        <v>38</v>
      </c>
    </row>
    <row r="55" spans="1:28">
      <c r="A55" s="35">
        <f>B55-DATE(2022,10,11)</f>
        <v>31</v>
      </c>
      <c r="B55" s="36" t="n">
        <v>44876</v>
      </c>
      <c r="C55" s="37" t="n">
        <v>6</v>
      </c>
      <c r="D55" s="37" t="s">
        <v>28</v>
      </c>
      <c r="E55" s="38" t="n">
        <v>19</v>
      </c>
      <c r="F55" s="37" t="n">
        <v>0</v>
      </c>
      <c r="G55" s="37">
        <f>SUM(H55:I55)</f>
        <v>9</v>
      </c>
      <c r="H55" s="37" t="n">
        <v>9</v>
      </c>
      <c r="I55" s="37"/>
      <c r="J55" s="37" t="n">
        <v>0</v>
      </c>
      <c r="K55" s="37" t="n">
        <v>0</v>
      </c>
      <c r="L55" s="51" t="s">
        <v>65</v>
      </c>
      <c r="M55" s="92" t="n">
        <v>1</v>
      </c>
      <c r="N55" s="37" t="s">
        <v>30</v>
      </c>
      <c r="O55" s="37" t="s">
        <v>30</v>
      </c>
      <c r="P55" s="37" t="s">
        <v>31</v>
      </c>
      <c r="Q55" s="37" t="s">
        <v>46</v>
      </c>
      <c r="R55" s="37" t="s">
        <v>33</v>
      </c>
      <c r="S55" s="37" t="s">
        <v>34</v>
      </c>
      <c r="T55" s="37" t="s">
        <v>51</v>
      </c>
      <c r="U55" s="37" t="s">
        <v>34</v>
      </c>
      <c r="V55" s="37" t="s">
        <v>34</v>
      </c>
      <c r="W55" s="37" t="s">
        <v>34</v>
      </c>
      <c r="X55" s="37" t="n">
        <v>0</v>
      </c>
      <c r="Y55" s="37" t="s">
        <v>34</v>
      </c>
      <c r="Z55" s="37"/>
      <c r="AA55" s="45" t="s">
        <v>60</v>
      </c>
      <c r="AB55" t="s">
        <v>38</v>
      </c>
    </row>
    <row r="56" spans="1:28">
      <c r="A56" s="78">
        <f>B56-DATE(2022,10,11)</f>
        <v>31</v>
      </c>
      <c r="B56" s="79" t="n">
        <v>44876</v>
      </c>
      <c r="C56" s="80" t="n">
        <v>6</v>
      </c>
      <c r="D56" s="80" t="s">
        <v>49</v>
      </c>
      <c r="E56" s="102" t="n">
        <v>19</v>
      </c>
      <c r="F56" s="80" t="n">
        <v>0</v>
      </c>
      <c r="G56" s="80">
        <f>SUM(H56:I56)</f>
        <v>9</v>
      </c>
      <c r="H56" s="80" t="n">
        <v>9</v>
      </c>
      <c r="I56" s="80"/>
      <c r="J56" s="80" t="n">
        <v>0</v>
      </c>
      <c r="K56" s="80" t="n">
        <v>0</v>
      </c>
      <c r="L56" s="81" t="s">
        <v>47</v>
      </c>
      <c r="M56" s="82" t="n">
        <v>1</v>
      </c>
      <c r="N56" s="80" t="s">
        <v>30</v>
      </c>
      <c r="O56" s="80" t="s">
        <v>30</v>
      </c>
      <c r="P56" s="80" t="s">
        <v>31</v>
      </c>
      <c r="Q56" s="80" t="s">
        <v>46</v>
      </c>
      <c r="R56" s="80" t="s">
        <v>33</v>
      </c>
      <c r="S56" s="80" t="s">
        <v>34</v>
      </c>
      <c r="T56" s="80" t="s">
        <v>51</v>
      </c>
      <c r="U56" s="80" t="s">
        <v>34</v>
      </c>
      <c r="V56" s="80" t="s">
        <v>33</v>
      </c>
      <c r="W56" s="80" t="s">
        <v>66</v>
      </c>
      <c r="X56" s="80" t="n">
        <v>47</v>
      </c>
      <c r="Y56" s="80" t="s">
        <v>51</v>
      </c>
      <c r="Z56" s="80"/>
      <c r="AA56" s="103" t="s">
        <v>67</v>
      </c>
      <c r="AB56" t="s">
        <v>38</v>
      </c>
    </row>
    <row r="57" spans="1:28">
      <c r="A57" s="11">
        <f>B57-DATE(2022,10,11)</f>
        <v>35</v>
      </c>
      <c r="B57" s="12" t="n">
        <v>44880</v>
      </c>
      <c r="C57" s="13" t="n">
        <v>6</v>
      </c>
      <c r="D57" s="13" t="s">
        <v>28</v>
      </c>
      <c r="E57" s="14" t="n">
        <v>19</v>
      </c>
      <c r="F57" s="13" t="n">
        <v>0</v>
      </c>
      <c r="G57" s="13">
        <f>SUM(H57:I57)</f>
        <v>8</v>
      </c>
      <c r="H57" s="13" t="n">
        <v>8</v>
      </c>
      <c r="I57" s="13"/>
      <c r="J57" s="13" t="n">
        <v>0</v>
      </c>
      <c r="K57" s="13" t="n">
        <v>0</v>
      </c>
      <c r="L57" s="26" t="s">
        <v>68</v>
      </c>
      <c r="M57" s="49" t="n">
        <v>1</v>
      </c>
      <c r="N57" s="13" t="s">
        <v>30</v>
      </c>
      <c r="O57" s="13" t="s">
        <v>30</v>
      </c>
      <c r="P57" s="13" t="s">
        <v>31</v>
      </c>
      <c r="Q57" s="13" t="s">
        <v>46</v>
      </c>
      <c r="R57" s="13" t="s">
        <v>33</v>
      </c>
      <c r="S57" s="13" t="s">
        <v>34</v>
      </c>
      <c r="T57" s="13" t="s">
        <v>51</v>
      </c>
      <c r="U57" s="13"/>
      <c r="V57" s="13" t="s">
        <v>34</v>
      </c>
      <c r="W57" s="13" t="s">
        <v>69</v>
      </c>
      <c r="X57" s="13" t="n">
        <v>69</v>
      </c>
      <c r="Y57" s="13" t="s">
        <v>51</v>
      </c>
      <c r="Z57" s="13"/>
      <c r="AA57" s="15" t="s">
        <v>67</v>
      </c>
      <c r="AB57" t="s">
        <v>38</v>
      </c>
    </row>
    <row r="58" spans="1:28">
      <c r="A58" s="71">
        <f>B58-DATE(2022,10,11)</f>
        <v>35</v>
      </c>
      <c r="B58" s="72" t="n">
        <v>44880</v>
      </c>
      <c r="C58" s="73" t="n">
        <v>6</v>
      </c>
      <c r="D58" s="73" t="s">
        <v>55</v>
      </c>
      <c r="E58" s="74" t="n">
        <v>19</v>
      </c>
      <c r="F58" s="73" t="n">
        <v>0</v>
      </c>
      <c r="G58" s="73">
        <f>SUM(H58:I58)</f>
        <v>8</v>
      </c>
      <c r="H58" s="73" t="n">
        <v>8</v>
      </c>
      <c r="I58" s="73"/>
      <c r="J58" s="73" t="n">
        <v>0</v>
      </c>
      <c r="K58" s="73" t="n">
        <v>0</v>
      </c>
      <c r="L58" s="75" t="s">
        <v>70</v>
      </c>
      <c r="M58" s="76" t="n">
        <v>1</v>
      </c>
      <c r="N58" s="73" t="s">
        <v>30</v>
      </c>
      <c r="O58" s="73" t="s">
        <v>30</v>
      </c>
      <c r="P58" s="73" t="s">
        <v>31</v>
      </c>
      <c r="Q58" s="73" t="s">
        <v>46</v>
      </c>
      <c r="R58" s="73" t="s">
        <v>33</v>
      </c>
      <c r="S58" s="73" t="s">
        <v>34</v>
      </c>
      <c r="T58" s="73" t="s">
        <v>51</v>
      </c>
      <c r="U58" s="73" t="s">
        <v>34</v>
      </c>
      <c r="V58" s="73" t="s">
        <v>34</v>
      </c>
      <c r="W58" s="73" t="s">
        <v>35</v>
      </c>
      <c r="X58" s="73" t="n">
        <v>33</v>
      </c>
      <c r="Y58" s="73" t="s">
        <v>34</v>
      </c>
      <c r="Z58" s="73"/>
      <c r="AA58" s="104" t="s">
        <v>37</v>
      </c>
      <c r="AB58" t="s">
        <v>38</v>
      </c>
    </row>
    <row r="59" spans="1:28">
      <c r="A59" s="31">
        <f>B59-DATE(2022,10,11)</f>
        <v>38</v>
      </c>
      <c r="B59" s="32" t="n">
        <v>44883</v>
      </c>
      <c r="C59" s="33" t="n">
        <v>6</v>
      </c>
      <c r="D59" s="33" t="s">
        <v>28</v>
      </c>
      <c r="E59" s="5" t="n">
        <v>19</v>
      </c>
      <c r="F59" s="33" t="n">
        <v>0</v>
      </c>
      <c r="G59" s="33">
        <f>SUM(H59:I59)</f>
        <v>7</v>
      </c>
      <c r="H59" s="33" t="n">
        <v>7</v>
      </c>
      <c r="I59" s="33"/>
      <c r="J59" s="33" t="n">
        <v>0</v>
      </c>
      <c r="K59" s="33" t="n">
        <v>0</v>
      </c>
      <c r="L59" s="53" t="s">
        <v>70</v>
      </c>
      <c r="M59" s="33" t="n">
        <v>1</v>
      </c>
      <c r="N59" s="33" t="s">
        <v>30</v>
      </c>
      <c r="O59" s="33" t="s">
        <v>30</v>
      </c>
      <c r="P59" s="33" t="s">
        <v>31</v>
      </c>
      <c r="Q59" s="33" t="s">
        <v>46</v>
      </c>
      <c r="R59" s="33" t="s">
        <v>33</v>
      </c>
      <c r="S59" s="33" t="s">
        <v>34</v>
      </c>
      <c r="T59" s="33" t="s">
        <v>57</v>
      </c>
      <c r="U59" s="33" t="s">
        <v>40</v>
      </c>
      <c r="V59" s="33" t="s">
        <v>40</v>
      </c>
      <c r="W59" s="33" t="s">
        <v>34</v>
      </c>
      <c r="X59" s="33" t="n">
        <v>0</v>
      </c>
      <c r="Y59" s="33" t="s">
        <v>40</v>
      </c>
      <c r="Z59" s="33"/>
      <c r="AA59" s="34" t="s">
        <v>60</v>
      </c>
      <c r="AB59" t="s">
        <v>38</v>
      </c>
    </row>
    <row r="60" spans="1:28">
      <c r="A60" s="16">
        <f>B60-DATE(2022,10,11)</f>
        <v>38</v>
      </c>
      <c r="B60" s="1" t="n">
        <v>44883</v>
      </c>
      <c r="C60" t="n">
        <v>6</v>
      </c>
      <c r="D60" t="s">
        <v>52</v>
      </c>
      <c r="E60" s="2" t="n">
        <v>19</v>
      </c>
      <c r="F60" t="n">
        <v>2</v>
      </c>
      <c r="G60">
        <f>SUM(H60:I60)</f>
        <v>7</v>
      </c>
      <c r="H60" t="n">
        <v>7</v>
      </c>
      <c r="J60" t="n">
        <v>0</v>
      </c>
      <c r="K60" t="n">
        <v>0</v>
      </c>
      <c r="L60" s="25" t="s">
        <v>50</v>
      </c>
      <c r="M60" s="3" t="n">
        <v>3</v>
      </c>
      <c r="N60" t="s">
        <v>30</v>
      </c>
      <c r="O60" t="s">
        <v>30</v>
      </c>
      <c r="P60" t="s">
        <v>31</v>
      </c>
      <c r="Q60" t="s">
        <v>40</v>
      </c>
      <c r="R60" t="s">
        <v>40</v>
      </c>
      <c r="S60" t="s">
        <v>40</v>
      </c>
      <c r="T60" t="s">
        <v>40</v>
      </c>
      <c r="U60" t="s">
        <v>46</v>
      </c>
      <c r="V60" t="s">
        <v>71</v>
      </c>
      <c r="W60" t="s">
        <v>72</v>
      </c>
      <c r="X60" t="n">
        <v>32</v>
      </c>
      <c r="Y60" t="s">
        <v>34</v>
      </c>
      <c r="AA60" s="55" t="s">
        <v>67</v>
      </c>
      <c r="AB60" t="s">
        <v>31</v>
      </c>
    </row>
    <row r="61" spans="1:28">
      <c r="A61" s="16">
        <f>B61-DATE(2022,10,11)</f>
        <v>38</v>
      </c>
      <c r="B61" s="1" t="n">
        <v>44883</v>
      </c>
      <c r="C61" t="n">
        <v>6</v>
      </c>
      <c r="D61" t="s">
        <v>52</v>
      </c>
      <c r="E61" s="2" t="n">
        <v>19</v>
      </c>
      <c r="F61" t="n">
        <v>2</v>
      </c>
      <c r="G61">
        <f>SUM(H61:I61)</f>
        <v>7</v>
      </c>
      <c r="H61" t="n">
        <v>7</v>
      </c>
      <c r="J61" t="n">
        <v>0</v>
      </c>
      <c r="K61" t="n">
        <v>0</v>
      </c>
      <c r="L61" s="25" t="s">
        <v>50</v>
      </c>
      <c r="M61" s="3" t="n">
        <v>3</v>
      </c>
      <c r="N61" t="s">
        <v>30</v>
      </c>
      <c r="O61" t="s">
        <v>30</v>
      </c>
      <c r="P61" t="s">
        <v>31</v>
      </c>
      <c r="U61" t="s">
        <v>46</v>
      </c>
      <c r="V61" t="s">
        <v>33</v>
      </c>
      <c r="W61" t="s">
        <v>73</v>
      </c>
      <c r="X61" t="n">
        <v>45</v>
      </c>
      <c r="Y61" t="s">
        <v>34</v>
      </c>
      <c r="AA61" s="55" t="s">
        <v>67</v>
      </c>
      <c r="AB61" t="s">
        <v>38</v>
      </c>
    </row>
    <row r="62" spans="1:28">
      <c r="A62" s="16">
        <f>B62-DATE(2022,10,11)</f>
        <v>38</v>
      </c>
      <c r="B62" s="1" t="n">
        <v>44883</v>
      </c>
      <c r="C62" t="n">
        <v>6</v>
      </c>
      <c r="D62" t="s">
        <v>52</v>
      </c>
      <c r="E62" s="2" t="n">
        <v>19</v>
      </c>
      <c r="F62" t="n">
        <v>2</v>
      </c>
      <c r="G62">
        <f>SUM(H62:I62)</f>
        <v>7</v>
      </c>
      <c r="H62" t="n">
        <v>7</v>
      </c>
      <c r="J62" t="n">
        <v>0</v>
      </c>
      <c r="K62" t="n">
        <v>0</v>
      </c>
      <c r="L62" s="25" t="s">
        <v>50</v>
      </c>
      <c r="M62" s="3" t="n">
        <v>3</v>
      </c>
      <c r="N62" t="s">
        <v>30</v>
      </c>
      <c r="O62" t="s">
        <v>30</v>
      </c>
      <c r="P62" t="s">
        <v>31</v>
      </c>
      <c r="U62" t="s">
        <v>46</v>
      </c>
      <c r="V62" t="s">
        <v>33</v>
      </c>
      <c r="W62" t="s">
        <v>35</v>
      </c>
      <c r="X62" t="n">
        <v>46</v>
      </c>
      <c r="Y62" t="s">
        <v>34</v>
      </c>
      <c r="AA62" s="55" t="s">
        <v>37</v>
      </c>
      <c r="AB62" t="s">
        <v>38</v>
      </c>
    </row>
    <row r="63" spans="1:28">
      <c r="A63" s="11">
        <f>B63-DATE(2022,10,11)</f>
        <v>38</v>
      </c>
      <c r="B63" s="12" t="n">
        <v>44883</v>
      </c>
      <c r="C63" s="13" t="n">
        <v>6</v>
      </c>
      <c r="D63" s="63" t="s">
        <v>74</v>
      </c>
      <c r="E63" s="14">
        <f>6+10</f>
        <v>16</v>
      </c>
      <c r="F63" s="63" t="n">
        <v>0</v>
      </c>
      <c r="G63" s="63">
        <f>SUM(H63:I63)</f>
        <v>2</v>
      </c>
      <c r="H63" s="63" t="n">
        <v>2</v>
      </c>
      <c r="I63" s="63"/>
      <c r="J63" s="63" t="n">
        <v>0</v>
      </c>
      <c r="K63" s="63" t="n">
        <v>0</v>
      </c>
      <c r="L63" s="26" t="s">
        <v>50</v>
      </c>
      <c r="M63" s="49" t="n">
        <v>3</v>
      </c>
      <c r="N63" s="63" t="n">
        <v>6</v>
      </c>
      <c r="O63" s="63" t="n">
        <v>10</v>
      </c>
      <c r="P63" s="13" t="s">
        <v>31</v>
      </c>
      <c r="Q63" s="13" t="s">
        <v>46</v>
      </c>
      <c r="R63" s="13" t="s">
        <v>75</v>
      </c>
      <c r="S63" s="13" t="s">
        <v>34</v>
      </c>
      <c r="T63" s="13" t="s">
        <v>34</v>
      </c>
      <c r="U63" s="13" t="s">
        <v>40</v>
      </c>
      <c r="V63" s="13" t="s">
        <v>40</v>
      </c>
      <c r="W63" s="13" t="s">
        <v>35</v>
      </c>
      <c r="X63" s="13" t="n">
        <v>44</v>
      </c>
      <c r="Y63" s="13" t="s">
        <v>40</v>
      </c>
      <c r="Z63" s="13"/>
      <c r="AA63" s="15" t="s">
        <v>37</v>
      </c>
      <c r="AB63" t="s">
        <v>38</v>
      </c>
    </row>
    <row r="64" spans="1:28">
      <c r="A64" s="16">
        <f>B64-DATE(2022,10,11)</f>
        <v>38</v>
      </c>
      <c r="B64" s="1" t="n">
        <v>44883</v>
      </c>
      <c r="C64" t="n">
        <v>6</v>
      </c>
      <c r="D64" s="4" t="s">
        <v>74</v>
      </c>
      <c r="E64" s="2">
        <f>6+10</f>
        <v>16</v>
      </c>
      <c r="F64" s="4" t="n">
        <v>0</v>
      </c>
      <c r="G64" s="4">
        <f>SUM(H64:I64)</f>
        <v>2</v>
      </c>
      <c r="H64" s="4" t="n">
        <v>2</v>
      </c>
      <c r="I64" s="4"/>
      <c r="J64" s="4" t="n">
        <v>0</v>
      </c>
      <c r="K64" s="4" t="n">
        <v>0</v>
      </c>
      <c r="L64" s="25" t="s">
        <v>50</v>
      </c>
      <c r="M64" s="3" t="n">
        <v>3</v>
      </c>
      <c r="N64" s="4" t="n">
        <v>6</v>
      </c>
      <c r="O64" s="4" t="n">
        <v>10</v>
      </c>
      <c r="P64" t="s">
        <v>31</v>
      </c>
      <c r="Q64" t="s">
        <v>46</v>
      </c>
      <c r="R64" t="s">
        <v>75</v>
      </c>
      <c r="S64" t="s">
        <v>34</v>
      </c>
      <c r="T64" t="s">
        <v>34</v>
      </c>
      <c r="U64" t="s">
        <v>40</v>
      </c>
      <c r="V64" t="s">
        <v>40</v>
      </c>
      <c r="W64" t="s">
        <v>35</v>
      </c>
      <c r="X64" t="n">
        <v>22</v>
      </c>
      <c r="Y64" t="s">
        <v>40</v>
      </c>
      <c r="AA64" s="17" t="s">
        <v>37</v>
      </c>
      <c r="AB64" t="s">
        <v>38</v>
      </c>
    </row>
    <row r="65" spans="1:28">
      <c r="A65" s="31">
        <f>B65-DATE(2022,10,11)</f>
        <v>38</v>
      </c>
      <c r="B65" s="32" t="n">
        <v>44883</v>
      </c>
      <c r="C65" s="33" t="n">
        <v>6</v>
      </c>
      <c r="D65" s="6" t="s">
        <v>74</v>
      </c>
      <c r="E65" s="5">
        <f>6+10</f>
        <v>16</v>
      </c>
      <c r="F65" s="6" t="n">
        <v>0</v>
      </c>
      <c r="G65" s="6">
        <f>SUM(H65:I65)</f>
        <v>2</v>
      </c>
      <c r="H65" s="6" t="n">
        <v>2</v>
      </c>
      <c r="I65" s="6"/>
      <c r="J65" s="6" t="n">
        <v>0</v>
      </c>
      <c r="K65" s="6" t="n">
        <v>0</v>
      </c>
      <c r="L65" s="53" t="s">
        <v>50</v>
      </c>
      <c r="M65" s="50" t="n">
        <v>3</v>
      </c>
      <c r="N65" s="6" t="n">
        <v>6</v>
      </c>
      <c r="O65" s="6" t="n">
        <v>10</v>
      </c>
      <c r="P65" s="33" t="s">
        <v>31</v>
      </c>
      <c r="Q65" s="33" t="s">
        <v>46</v>
      </c>
      <c r="R65" s="33" t="s">
        <v>33</v>
      </c>
      <c r="S65" s="33" t="s">
        <v>34</v>
      </c>
      <c r="T65" s="33" t="s">
        <v>34</v>
      </c>
      <c r="U65" s="33" t="s">
        <v>40</v>
      </c>
      <c r="V65" s="33" t="s">
        <v>40</v>
      </c>
      <c r="W65" s="33" t="s">
        <v>35</v>
      </c>
      <c r="X65" s="33" t="n">
        <v>55</v>
      </c>
      <c r="Y65" s="33" t="s">
        <v>40</v>
      </c>
      <c r="Z65" s="33"/>
      <c r="AA65" s="34" t="s">
        <v>37</v>
      </c>
      <c r="AB65" t="s">
        <v>38</v>
      </c>
    </row>
    <row r="66" spans="1:27" hidden="1">
      <c r="A66" s="31">
        <f>B66-DATE(2022,10,11)</f>
        <v>42</v>
      </c>
      <c r="B66" s="32" t="n">
        <v>44887</v>
      </c>
      <c r="C66" s="33" t="n">
        <v>6</v>
      </c>
      <c r="D66" s="33" t="s">
        <v>52</v>
      </c>
      <c r="E66" s="5" t="n">
        <v>19</v>
      </c>
      <c r="F66" s="33" t="n">
        <v>1</v>
      </c>
      <c r="G66" s="33">
        <f>SUM(H66:I66)</f>
        <v>7</v>
      </c>
      <c r="H66" s="33" t="n">
        <v>7</v>
      </c>
      <c r="I66" s="33"/>
      <c r="J66" s="33" t="n">
        <v>0</v>
      </c>
      <c r="K66" s="33" t="n">
        <v>0</v>
      </c>
      <c r="L66" s="53" t="s">
        <v>47</v>
      </c>
      <c r="M66" s="50" t="n">
        <v>1</v>
      </c>
      <c r="N66" s="33" t="s">
        <v>30</v>
      </c>
      <c r="O66" s="33" t="s">
        <v>30</v>
      </c>
      <c r="P66" s="33" t="s">
        <v>31</v>
      </c>
      <c r="Q66" s="33" t="s">
        <v>34</v>
      </c>
      <c r="R66" s="33" t="s">
        <v>76</v>
      </c>
      <c r="S66" s="33" t="s">
        <v>34</v>
      </c>
      <c r="T66" s="33" t="s">
        <v>57</v>
      </c>
      <c r="U66" s="33" t="s">
        <v>34</v>
      </c>
      <c r="V66" s="33" t="s">
        <v>34</v>
      </c>
      <c r="W66" s="33" t="s">
        <v>62</v>
      </c>
      <c r="X66" s="33" t="n">
        <v>0</v>
      </c>
      <c r="Y66" s="33" t="s">
        <v>34</v>
      </c>
      <c r="Z66" s="33"/>
      <c r="AA66" s="34"/>
      <extLst>
        <ext uri="smNativeData">
          <pm:rowDef xmlns:pm="smNativeData" id="1749180287" r="66" hidden="0" collapsedDB="1" collapsedOL="0"/>
        </ext>
      </extLst>
    </row>
    <row r="67" spans="1:28">
      <c r="A67" s="16">
        <f>B67-DATE(2022,10,11)</f>
        <v>45</v>
      </c>
      <c r="B67" s="1" t="n">
        <v>44890</v>
      </c>
      <c r="C67" t="n">
        <v>6</v>
      </c>
      <c r="D67" t="s">
        <v>28</v>
      </c>
      <c r="E67" s="2" t="n">
        <v>19</v>
      </c>
      <c r="F67" t="n">
        <v>0</v>
      </c>
      <c r="G67">
        <f>SUM(H67:I67)</f>
        <v>8</v>
      </c>
      <c r="H67" t="n">
        <v>8</v>
      </c>
      <c r="J67" t="n">
        <v>0</v>
      </c>
      <c r="K67" t="n">
        <v>0</v>
      </c>
      <c r="L67" s="25" t="s">
        <v>77</v>
      </c>
      <c r="M67" s="3" t="n">
        <v>5</v>
      </c>
      <c r="N67" t="s">
        <v>30</v>
      </c>
      <c r="O67" t="s">
        <v>30</v>
      </c>
      <c r="P67" t="s">
        <v>31</v>
      </c>
      <c r="Q67" t="s">
        <v>46</v>
      </c>
      <c r="R67" t="s">
        <v>76</v>
      </c>
      <c r="S67" t="s">
        <v>34</v>
      </c>
      <c r="T67" t="s">
        <v>57</v>
      </c>
      <c r="U67" t="s">
        <v>46</v>
      </c>
      <c r="V67" t="s">
        <v>34</v>
      </c>
      <c r="W67" t="s">
        <v>35</v>
      </c>
      <c r="X67" t="n">
        <v>44</v>
      </c>
      <c r="Y67" t="s">
        <v>57</v>
      </c>
      <c r="AA67" s="17" t="s">
        <v>37</v>
      </c>
      <c r="AB67" t="s">
        <v>38</v>
      </c>
    </row>
    <row r="68" spans="1:28">
      <c r="A68" s="16">
        <f>B68-DATE(2022,10,11)</f>
        <v>45</v>
      </c>
      <c r="B68" s="1" t="n">
        <v>44890</v>
      </c>
      <c r="C68" t="n">
        <v>6</v>
      </c>
      <c r="D68" t="s">
        <v>28</v>
      </c>
      <c r="E68" s="2" t="n">
        <v>19</v>
      </c>
      <c r="F68" t="n">
        <v>0</v>
      </c>
      <c r="G68">
        <f>SUM(H68:I68)</f>
        <v>8</v>
      </c>
      <c r="H68" t="n">
        <v>8</v>
      </c>
      <c r="J68" t="n">
        <v>0</v>
      </c>
      <c r="K68" t="n">
        <v>0</v>
      </c>
      <c r="M68" s="3" t="n">
        <v>5</v>
      </c>
      <c r="N68" t="s">
        <v>30</v>
      </c>
      <c r="O68" t="s">
        <v>30</v>
      </c>
      <c r="P68" t="s">
        <v>31</v>
      </c>
      <c r="Q68" t="s">
        <v>46</v>
      </c>
      <c r="R68" t="s">
        <v>76</v>
      </c>
      <c r="S68" t="s">
        <v>34</v>
      </c>
      <c r="T68" t="s">
        <v>57</v>
      </c>
      <c r="U68" t="s">
        <v>46</v>
      </c>
      <c r="V68" t="s">
        <v>34</v>
      </c>
      <c r="W68" t="s">
        <v>78</v>
      </c>
      <c r="X68" t="n">
        <v>538</v>
      </c>
      <c r="Y68" t="s">
        <v>34</v>
      </c>
      <c r="AA68" s="17" t="s">
        <v>79</v>
      </c>
      <c r="AB68" t="s">
        <v>38</v>
      </c>
    </row>
    <row r="69" spans="1:28">
      <c r="A69" s="16">
        <f>B69-DATE(2022,10,11)</f>
        <v>45</v>
      </c>
      <c r="B69" s="1" t="n">
        <v>44890</v>
      </c>
      <c r="C69" t="n">
        <v>6</v>
      </c>
      <c r="D69" t="s">
        <v>28</v>
      </c>
      <c r="E69" s="2" t="n">
        <v>19</v>
      </c>
      <c r="F69" t="n">
        <v>0</v>
      </c>
      <c r="G69">
        <f>SUM(H69:I69)</f>
        <v>8</v>
      </c>
      <c r="H69" t="n">
        <v>8</v>
      </c>
      <c r="J69" t="n">
        <v>0</v>
      </c>
      <c r="K69" t="n">
        <v>0</v>
      </c>
      <c r="M69" s="3" t="n">
        <v>5</v>
      </c>
      <c r="N69" t="s">
        <v>30</v>
      </c>
      <c r="O69" t="s">
        <v>30</v>
      </c>
      <c r="Q69" t="s">
        <v>46</v>
      </c>
      <c r="R69" t="s">
        <v>76</v>
      </c>
      <c r="S69" t="s">
        <v>34</v>
      </c>
      <c r="T69" t="s">
        <v>57</v>
      </c>
      <c r="U69" t="s">
        <v>46</v>
      </c>
      <c r="V69" t="s">
        <v>34</v>
      </c>
      <c r="W69" t="s">
        <v>35</v>
      </c>
      <c r="X69" t="n">
        <v>33</v>
      </c>
      <c r="AA69" s="17" t="s">
        <v>37</v>
      </c>
      <c r="AB69" t="s">
        <v>38</v>
      </c>
    </row>
    <row r="70" spans="1:27" hidden="1">
      <c r="A70" s="16">
        <f>B70-DATE(2022,10,11)</f>
        <v>45</v>
      </c>
      <c r="B70" s="1" t="n">
        <v>44890</v>
      </c>
      <c r="C70" t="n">
        <v>6</v>
      </c>
      <c r="D70" t="s">
        <v>28</v>
      </c>
      <c r="E70" s="2" t="n">
        <v>19</v>
      </c>
      <c r="F70" t="n">
        <v>0</v>
      </c>
      <c r="G70">
        <f>SUM(H70:I70)</f>
        <v>8</v>
      </c>
      <c r="H70" t="n">
        <v>8</v>
      </c>
      <c r="J70" t="n">
        <v>0</v>
      </c>
      <c r="K70" t="n">
        <v>0</v>
      </c>
      <c r="M70" s="3" t="n">
        <v>5</v>
      </c>
      <c r="N70" t="s">
        <v>30</v>
      </c>
      <c r="O70" t="s">
        <v>30</v>
      </c>
      <c r="AA70" s="17"/>
      <extLst>
        <ext uri="smNativeData">
          <pm:rowDef xmlns:pm="smNativeData" id="1749180287" r="70" hidden="0" collapsedDB="1" collapsedOL="0"/>
        </ext>
      </extLst>
    </row>
    <row r="71" spans="1:27" hidden="1">
      <c r="A71" s="16">
        <f>B71-DATE(2022,10,11)</f>
        <v>45</v>
      </c>
      <c r="B71" s="1" t="n">
        <v>44890</v>
      </c>
      <c r="C71" t="n">
        <v>6</v>
      </c>
      <c r="D71" t="s">
        <v>28</v>
      </c>
      <c r="E71" s="2" t="n">
        <v>19</v>
      </c>
      <c r="F71" t="n">
        <v>0</v>
      </c>
      <c r="G71">
        <f>SUM(H71:I71)</f>
        <v>8</v>
      </c>
      <c r="H71" t="n">
        <v>8</v>
      </c>
      <c r="J71" t="n">
        <v>0</v>
      </c>
      <c r="K71" t="n">
        <v>0</v>
      </c>
      <c r="M71" s="3" t="n">
        <v>5</v>
      </c>
      <c r="N71" t="s">
        <v>30</v>
      </c>
      <c r="O71" t="s">
        <v>30</v>
      </c>
      <c r="AA71" s="17"/>
      <extLst>
        <ext uri="smNativeData">
          <pm:rowDef xmlns:pm="smNativeData" id="1749180287" r="71" hidden="0" collapsedDB="1" collapsedOL="0"/>
        </ext>
      </extLst>
    </row>
    <row r="72" spans="1:28">
      <c r="A72" s="11">
        <f>B72-DATE(2022,10,11)</f>
        <v>45</v>
      </c>
      <c r="B72" s="12" t="n">
        <v>44890</v>
      </c>
      <c r="C72" s="13" t="n">
        <v>6</v>
      </c>
      <c r="D72" s="13" t="s">
        <v>49</v>
      </c>
      <c r="E72" s="14" t="n">
        <v>19</v>
      </c>
      <c r="F72" s="13" t="n">
        <v>0</v>
      </c>
      <c r="G72" s="13">
        <f>SUM(H72:I72)</f>
        <v>9</v>
      </c>
      <c r="H72" s="13" t="n">
        <v>9</v>
      </c>
      <c r="I72" s="13"/>
      <c r="J72" s="13" t="n">
        <v>0</v>
      </c>
      <c r="K72" s="13" t="n">
        <v>0</v>
      </c>
      <c r="L72" s="26" t="s">
        <v>47</v>
      </c>
      <c r="M72" s="49" t="n">
        <v>1</v>
      </c>
      <c r="N72" s="13" t="s">
        <v>30</v>
      </c>
      <c r="O72" s="13" t="s">
        <v>30</v>
      </c>
      <c r="P72" s="13" t="s">
        <v>31</v>
      </c>
      <c r="Q72" s="13" t="s">
        <v>46</v>
      </c>
      <c r="R72" s="13" t="s">
        <v>76</v>
      </c>
      <c r="S72" s="13" t="s">
        <v>34</v>
      </c>
      <c r="T72" s="13" t="s">
        <v>57</v>
      </c>
      <c r="U72" s="13" t="s">
        <v>34</v>
      </c>
      <c r="V72" s="13" t="s">
        <v>34</v>
      </c>
      <c r="W72" s="13" t="s">
        <v>35</v>
      </c>
      <c r="X72" s="13" t="n">
        <v>24</v>
      </c>
      <c r="Y72" s="13" t="s">
        <v>34</v>
      </c>
      <c r="Z72" s="13"/>
      <c r="AA72" s="15" t="s">
        <v>37</v>
      </c>
      <c r="AB72" t="s">
        <v>38</v>
      </c>
    </row>
    <row r="73" spans="1:27" hidden="1">
      <c r="A73" s="11">
        <f>B73-DATE(2022,10,11)</f>
        <v>45</v>
      </c>
      <c r="B73" s="12" t="n">
        <v>44890</v>
      </c>
      <c r="C73" s="13" t="n">
        <v>6</v>
      </c>
      <c r="D73" s="13" t="s">
        <v>41</v>
      </c>
      <c r="E73" s="14">
        <f>2+10</f>
        <v>12</v>
      </c>
      <c r="F73" s="13" t="n">
        <v>0</v>
      </c>
      <c r="G73" s="13">
        <f>SUM(H73:I73)</f>
        <v>2</v>
      </c>
      <c r="H73" s="13" t="n">
        <v>2</v>
      </c>
      <c r="I73" s="13"/>
      <c r="J73" s="13" t="n">
        <v>0</v>
      </c>
      <c r="K73" s="13" t="n">
        <v>0</v>
      </c>
      <c r="L73" s="26" t="s">
        <v>47</v>
      </c>
      <c r="M73" s="49" t="n">
        <v>1</v>
      </c>
      <c r="N73" s="13" t="n">
        <v>2</v>
      </c>
      <c r="O73" s="13" t="n">
        <v>10</v>
      </c>
      <c r="P73" s="13"/>
      <c r="Q73" s="13" t="s">
        <v>34</v>
      </c>
      <c r="R73" s="13" t="s">
        <v>76</v>
      </c>
      <c r="S73" s="13" t="s">
        <v>34</v>
      </c>
      <c r="T73" s="13" t="s">
        <v>57</v>
      </c>
      <c r="U73" s="13" t="s">
        <v>34</v>
      </c>
      <c r="V73" s="13" t="s">
        <v>34</v>
      </c>
      <c r="W73" s="13" t="s">
        <v>80</v>
      </c>
      <c r="X73" s="13" t="n">
        <v>0</v>
      </c>
      <c r="Y73" s="13"/>
      <c r="Z73" s="13"/>
      <c r="AA73" s="15"/>
      <extLst>
        <ext uri="smNativeData">
          <pm:rowDef xmlns:pm="smNativeData" id="1749180287" r="73" hidden="0" collapsedDB="1" collapsedOL="0"/>
        </ext>
      </extLst>
    </row>
    <row r="74" spans="1:28">
      <c r="A74" s="11">
        <f>B74-DATE(2022,10,11)</f>
        <v>45</v>
      </c>
      <c r="B74" s="12" t="n">
        <v>44890</v>
      </c>
      <c r="C74" s="13" t="n">
        <v>6</v>
      </c>
      <c r="D74" s="63" t="s">
        <v>74</v>
      </c>
      <c r="E74" s="14">
        <f>6+10</f>
        <v>16</v>
      </c>
      <c r="F74" s="63" t="n">
        <v>0</v>
      </c>
      <c r="G74" s="63">
        <f>SUM(H74:I74)</f>
        <v>1</v>
      </c>
      <c r="H74" s="63" t="n">
        <v>1</v>
      </c>
      <c r="I74" s="63"/>
      <c r="J74" s="63" t="n">
        <v>0</v>
      </c>
      <c r="K74" s="63" t="n">
        <v>0</v>
      </c>
      <c r="L74" s="26" t="s">
        <v>81</v>
      </c>
      <c r="M74" s="49" t="n">
        <v>5</v>
      </c>
      <c r="N74" s="63" t="n">
        <v>6</v>
      </c>
      <c r="O74" s="63" t="n">
        <v>10</v>
      </c>
      <c r="P74" s="13" t="s">
        <v>31</v>
      </c>
      <c r="Q74" s="13" t="s">
        <v>46</v>
      </c>
      <c r="R74" s="13" t="s">
        <v>34</v>
      </c>
      <c r="S74" s="13" t="s">
        <v>34</v>
      </c>
      <c r="T74" s="13" t="s">
        <v>34</v>
      </c>
      <c r="U74" s="13"/>
      <c r="V74" s="13"/>
      <c r="W74" s="13" t="s">
        <v>82</v>
      </c>
      <c r="X74" s="13" t="n">
        <v>39</v>
      </c>
      <c r="Y74" s="13"/>
      <c r="Z74" s="13"/>
      <c r="AA74" s="15" t="s">
        <v>37</v>
      </c>
      <c r="AB74" t="s">
        <v>38</v>
      </c>
    </row>
    <row r="75" spans="1:28">
      <c r="A75" s="16">
        <f>B75-DATE(2022,10,11)</f>
        <v>45</v>
      </c>
      <c r="B75" s="1" t="n">
        <v>44890</v>
      </c>
      <c r="C75" t="n">
        <v>6</v>
      </c>
      <c r="D75" s="4" t="s">
        <v>74</v>
      </c>
      <c r="E75" s="2">
        <f>6+10</f>
        <v>16</v>
      </c>
      <c r="F75" s="4" t="n">
        <v>0</v>
      </c>
      <c r="G75" s="4">
        <f>SUM(H75:I75)</f>
        <v>1</v>
      </c>
      <c r="H75" s="4" t="n">
        <v>1</v>
      </c>
      <c r="I75" s="4"/>
      <c r="J75" s="4" t="n">
        <v>0</v>
      </c>
      <c r="K75" s="4" t="n">
        <v>0</v>
      </c>
      <c r="L75" s="25" t="s">
        <v>81</v>
      </c>
      <c r="M75" s="3" t="n">
        <v>5</v>
      </c>
      <c r="N75" s="4" t="n">
        <v>6</v>
      </c>
      <c r="O75" s="4" t="n">
        <v>10</v>
      </c>
      <c r="P75" t="s">
        <v>31</v>
      </c>
      <c r="W75" t="s">
        <v>82</v>
      </c>
      <c r="X75" t="n">
        <v>25</v>
      </c>
      <c r="AA75" s="17" t="s">
        <v>37</v>
      </c>
      <c r="AB75" t="s">
        <v>38</v>
      </c>
    </row>
    <row r="76" spans="1:27" hidden="1">
      <c r="A76" s="16">
        <f>B76-DATE(2022,10,11)</f>
        <v>45</v>
      </c>
      <c r="B76" s="1" t="n">
        <v>44890</v>
      </c>
      <c r="C76" t="n">
        <v>6</v>
      </c>
      <c r="D76" s="4" t="s">
        <v>74</v>
      </c>
      <c r="E76" s="2">
        <f>6+10</f>
        <v>16</v>
      </c>
      <c r="F76" s="4" t="n">
        <v>0</v>
      </c>
      <c r="G76" s="4">
        <f>SUM(H76:I76)</f>
        <v>1</v>
      </c>
      <c r="H76" s="4" t="n">
        <v>1</v>
      </c>
      <c r="I76" s="4"/>
      <c r="J76" s="4" t="n">
        <v>0</v>
      </c>
      <c r="K76" s="4" t="n">
        <v>0</v>
      </c>
      <c r="L76" s="25" t="s">
        <v>81</v>
      </c>
      <c r="M76" s="3" t="n">
        <v>5</v>
      </c>
      <c r="N76" s="4" t="n">
        <v>6</v>
      </c>
      <c r="O76" s="4" t="n">
        <v>10</v>
      </c>
      <c r="P76" t="s">
        <v>31</v>
      </c>
      <c r="W76" t="s">
        <v>83</v>
      </c>
      <c r="X76" t="n">
        <v>0</v>
      </c>
      <c r="AA76" s="17"/>
      <extLst>
        <ext uri="smNativeData">
          <pm:rowDef xmlns:pm="smNativeData" id="1749180287" r="76" hidden="0" collapsedDB="1" collapsedOL="0"/>
        </ext>
      </extLst>
    </row>
    <row r="77" spans="1:27" hidden="1">
      <c r="A77" s="16">
        <f>B77-DATE(2022,10,11)</f>
        <v>45</v>
      </c>
      <c r="B77" s="1" t="n">
        <v>44890</v>
      </c>
      <c r="C77" t="n">
        <v>6</v>
      </c>
      <c r="D77" s="4" t="s">
        <v>74</v>
      </c>
      <c r="E77" s="2">
        <f>6+10</f>
        <v>16</v>
      </c>
      <c r="F77" s="4" t="n">
        <v>0</v>
      </c>
      <c r="G77" s="4">
        <f>SUM(H77:I77)</f>
        <v>1</v>
      </c>
      <c r="H77" s="4" t="n">
        <v>1</v>
      </c>
      <c r="I77" s="4"/>
      <c r="J77" s="4" t="n">
        <v>0</v>
      </c>
      <c r="K77" s="4" t="n">
        <v>0</v>
      </c>
      <c r="L77" s="25" t="s">
        <v>81</v>
      </c>
      <c r="M77" s="3" t="n">
        <v>5</v>
      </c>
      <c r="N77" s="4" t="n">
        <v>6</v>
      </c>
      <c r="O77" s="4" t="n">
        <v>10</v>
      </c>
      <c r="P77" t="s">
        <v>31</v>
      </c>
      <c r="AA77" s="17"/>
      <extLst>
        <ext uri="smNativeData">
          <pm:rowDef xmlns:pm="smNativeData" id="1749180287" r="77" hidden="0" collapsedDB="1" collapsedOL="0"/>
        </ext>
      </extLst>
    </row>
    <row r="78" spans="1:27" hidden="1">
      <c r="A78" s="31">
        <f>B78-DATE(2022,10,11)</f>
        <v>45</v>
      </c>
      <c r="B78" s="32" t="n">
        <v>44890</v>
      </c>
      <c r="C78" s="33" t="n">
        <v>6</v>
      </c>
      <c r="D78" s="6" t="s">
        <v>74</v>
      </c>
      <c r="E78" s="5">
        <f>6+10</f>
        <v>16</v>
      </c>
      <c r="F78" s="6" t="n">
        <v>0</v>
      </c>
      <c r="G78" s="6">
        <f>SUM(H78:I78)</f>
        <v>1</v>
      </c>
      <c r="H78" s="6" t="n">
        <v>1</v>
      </c>
      <c r="I78" s="6"/>
      <c r="J78" s="6" t="n">
        <v>0</v>
      </c>
      <c r="K78" s="6" t="n">
        <v>0</v>
      </c>
      <c r="L78" s="53" t="s">
        <v>81</v>
      </c>
      <c r="M78" s="50" t="n">
        <v>5</v>
      </c>
      <c r="N78" s="6" t="n">
        <v>6</v>
      </c>
      <c r="O78" s="6" t="n">
        <v>10</v>
      </c>
      <c r="P78" s="33" t="s">
        <v>31</v>
      </c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4"/>
      <extLst>
        <ext uri="smNativeData">
          <pm:rowDef xmlns:pm="smNativeData" id="1749180287" r="78" hidden="0" collapsedDB="1" collapsedOL="0"/>
        </ext>
      </extLst>
    </row>
    <row r="79" spans="1:27" hidden="1">
      <c r="A79" s="16">
        <f>B79-DATE(2022,10,11)</f>
        <v>49</v>
      </c>
      <c r="B79" s="1" t="n">
        <v>44894</v>
      </c>
      <c r="C79" t="n">
        <v>6</v>
      </c>
      <c r="D79" t="s">
        <v>49</v>
      </c>
      <c r="E79" s="2" t="n">
        <v>19</v>
      </c>
      <c r="F79" t="n">
        <v>0</v>
      </c>
      <c r="G79" s="4">
        <f>SUM(H79:I79)</f>
        <v>7</v>
      </c>
      <c r="H79" t="n">
        <v>7</v>
      </c>
      <c r="J79" t="n">
        <v>0</v>
      </c>
      <c r="K79" t="n">
        <v>0</v>
      </c>
      <c r="L79" s="25" t="s">
        <v>84</v>
      </c>
      <c r="M79" s="3" t="n">
        <v>10</v>
      </c>
      <c r="N79" t="s">
        <v>30</v>
      </c>
      <c r="O79" t="s">
        <v>30</v>
      </c>
      <c r="P79" t="s">
        <v>31</v>
      </c>
      <c r="Q79" t="s">
        <v>46</v>
      </c>
      <c r="R79" t="s">
        <v>76</v>
      </c>
      <c r="S79" t="s">
        <v>34</v>
      </c>
      <c r="T79" t="s">
        <v>57</v>
      </c>
      <c r="U79" t="s">
        <v>46</v>
      </c>
      <c r="V79" t="s">
        <v>34</v>
      </c>
      <c r="W79" t="s">
        <v>35</v>
      </c>
      <c r="X79" t="n">
        <v>38</v>
      </c>
      <c r="Y79" t="s">
        <v>57</v>
      </c>
      <c r="AA79" s="17"/>
      <extLst>
        <ext uri="smNativeData">
          <pm:rowDef xmlns:pm="smNativeData" id="1749180287" r="79" hidden="0" collapsedDB="1" collapsedOL="0"/>
        </ext>
      </extLst>
    </row>
    <row r="80" spans="1:27" hidden="1">
      <c r="A80" s="16">
        <f>B80-DATE(2022,10,11)</f>
        <v>49</v>
      </c>
      <c r="B80" s="1" t="n">
        <v>44894</v>
      </c>
      <c r="C80" t="n">
        <v>6</v>
      </c>
      <c r="D80" t="s">
        <v>49</v>
      </c>
      <c r="E80" s="2" t="n">
        <v>19</v>
      </c>
      <c r="F80" t="n">
        <v>0</v>
      </c>
      <c r="G80" s="4">
        <f>SUM(H80:I80)</f>
        <v>7</v>
      </c>
      <c r="H80" t="n">
        <v>7</v>
      </c>
      <c r="J80" t="n">
        <v>0</v>
      </c>
      <c r="K80" t="n">
        <v>0</v>
      </c>
      <c r="M80" s="3" t="n">
        <v>10</v>
      </c>
      <c r="N80" t="s">
        <v>30</v>
      </c>
      <c r="O80" t="s">
        <v>30</v>
      </c>
      <c r="P80" t="s">
        <v>31</v>
      </c>
      <c r="Q80" t="s">
        <v>46</v>
      </c>
      <c r="R80" t="s">
        <v>76</v>
      </c>
      <c r="S80" t="s">
        <v>34</v>
      </c>
      <c r="T80" t="s">
        <v>57</v>
      </c>
      <c r="U80" t="s">
        <v>46</v>
      </c>
      <c r="V80" t="s">
        <v>34</v>
      </c>
      <c r="W80" t="s">
        <v>35</v>
      </c>
      <c r="Y80" t="s">
        <v>57</v>
      </c>
      <c r="AA80" s="17"/>
      <extLst>
        <ext uri="smNativeData">
          <pm:rowDef xmlns:pm="smNativeData" id="1749180287" r="80" hidden="0" collapsedDB="1" collapsedOL="0"/>
        </ext>
      </extLst>
    </row>
    <row r="81" spans="1:27" hidden="1">
      <c r="A81" s="16">
        <f>B81-DATE(2022,10,11)</f>
        <v>49</v>
      </c>
      <c r="B81" s="1" t="n">
        <v>44894</v>
      </c>
      <c r="C81" t="n">
        <v>6</v>
      </c>
      <c r="D81" t="s">
        <v>49</v>
      </c>
      <c r="E81" s="2" t="n">
        <v>19</v>
      </c>
      <c r="F81" t="n">
        <v>0</v>
      </c>
      <c r="G81" s="4">
        <f>SUM(H81:I81)</f>
        <v>7</v>
      </c>
      <c r="H81" t="n">
        <v>7</v>
      </c>
      <c r="J81" t="n">
        <v>0</v>
      </c>
      <c r="K81" t="n">
        <v>0</v>
      </c>
      <c r="M81" s="3" t="n">
        <v>10</v>
      </c>
      <c r="N81" t="s">
        <v>30</v>
      </c>
      <c r="O81" t="s">
        <v>30</v>
      </c>
      <c r="P81" t="s">
        <v>31</v>
      </c>
      <c r="Q81" t="s">
        <v>46</v>
      </c>
      <c r="R81" t="s">
        <v>76</v>
      </c>
      <c r="S81" t="s">
        <v>34</v>
      </c>
      <c r="T81" t="s">
        <v>57</v>
      </c>
      <c r="U81" t="s">
        <v>46</v>
      </c>
      <c r="V81" t="s">
        <v>34</v>
      </c>
      <c r="W81" t="s">
        <v>35</v>
      </c>
      <c r="X81" t="n">
        <v>42</v>
      </c>
      <c r="Y81" t="s">
        <v>57</v>
      </c>
      <c r="AA81" s="17"/>
      <extLst>
        <ext uri="smNativeData">
          <pm:rowDef xmlns:pm="smNativeData" id="1749180287" r="81" hidden="0" collapsedDB="1" collapsedOL="0"/>
        </ext>
      </extLst>
    </row>
    <row r="82" spans="1:27" hidden="1">
      <c r="A82" s="16">
        <f>B82-DATE(2022,10,11)</f>
        <v>49</v>
      </c>
      <c r="B82" s="1" t="n">
        <v>44894</v>
      </c>
      <c r="C82" t="n">
        <v>6</v>
      </c>
      <c r="D82" t="s">
        <v>49</v>
      </c>
      <c r="E82" s="2" t="n">
        <v>19</v>
      </c>
      <c r="F82" t="n">
        <v>0</v>
      </c>
      <c r="G82" s="4">
        <f>SUM(H82:I82)</f>
        <v>7</v>
      </c>
      <c r="H82" t="n">
        <v>7</v>
      </c>
      <c r="J82" t="n">
        <v>0</v>
      </c>
      <c r="K82" t="n">
        <v>0</v>
      </c>
      <c r="M82" s="3" t="n">
        <v>10</v>
      </c>
      <c r="N82" t="s">
        <v>30</v>
      </c>
      <c r="O82" t="s">
        <v>30</v>
      </c>
      <c r="P82" t="s">
        <v>31</v>
      </c>
      <c r="U82" t="s">
        <v>46</v>
      </c>
      <c r="V82" t="s">
        <v>33</v>
      </c>
      <c r="W82" t="s">
        <v>35</v>
      </c>
      <c r="X82" t="n">
        <v>35</v>
      </c>
      <c r="Y82" t="s">
        <v>57</v>
      </c>
      <c r="AA82" s="17"/>
      <extLst>
        <ext uri="smNativeData">
          <pm:rowDef xmlns:pm="smNativeData" id="1749180287" r="82" hidden="0" collapsedDB="1" collapsedOL="0"/>
        </ext>
      </extLst>
    </row>
    <row r="83" spans="1:27" hidden="1">
      <c r="A83" s="16">
        <f>B83-DATE(2022,10,11)</f>
        <v>49</v>
      </c>
      <c r="B83" s="1" t="n">
        <v>44894</v>
      </c>
      <c r="C83" t="n">
        <v>6</v>
      </c>
      <c r="D83" t="s">
        <v>49</v>
      </c>
      <c r="E83" s="2" t="n">
        <v>19</v>
      </c>
      <c r="F83" t="n">
        <v>0</v>
      </c>
      <c r="G83" s="4">
        <f>SUM(H83:I83)</f>
        <v>7</v>
      </c>
      <c r="H83" t="n">
        <v>7</v>
      </c>
      <c r="J83" t="n">
        <v>0</v>
      </c>
      <c r="K83" t="n">
        <v>0</v>
      </c>
      <c r="M83" s="3" t="n">
        <v>10</v>
      </c>
      <c r="N83" t="s">
        <v>30</v>
      </c>
      <c r="O83" t="s">
        <v>30</v>
      </c>
      <c r="P83" t="s">
        <v>31</v>
      </c>
      <c r="U83" t="s">
        <v>46</v>
      </c>
      <c r="V83" t="s">
        <v>33</v>
      </c>
      <c r="W83" t="s">
        <v>72</v>
      </c>
      <c r="Y83" t="s">
        <v>57</v>
      </c>
      <c r="AA83" s="17"/>
      <extLst>
        <ext uri="smNativeData">
          <pm:rowDef xmlns:pm="smNativeData" id="1749180287" r="83" hidden="0" collapsedDB="1" collapsedOL="0"/>
        </ext>
      </extLst>
    </row>
    <row r="84" spans="1:27" hidden="1">
      <c r="A84" s="16">
        <f>B84-DATE(2022,10,11)</f>
        <v>49</v>
      </c>
      <c r="B84" s="1" t="n">
        <v>44894</v>
      </c>
      <c r="C84" t="n">
        <v>6</v>
      </c>
      <c r="D84" t="s">
        <v>49</v>
      </c>
      <c r="E84" s="2" t="n">
        <v>19</v>
      </c>
      <c r="F84" t="n">
        <v>0</v>
      </c>
      <c r="G84" s="4">
        <f>SUM(H84:I84)</f>
        <v>7</v>
      </c>
      <c r="H84" t="n">
        <v>7</v>
      </c>
      <c r="J84" t="n">
        <v>0</v>
      </c>
      <c r="K84" t="n">
        <v>0</v>
      </c>
      <c r="M84" s="3" t="n">
        <v>10</v>
      </c>
      <c r="N84" t="s">
        <v>30</v>
      </c>
      <c r="O84" t="s">
        <v>30</v>
      </c>
      <c r="AA84" s="17"/>
      <extLst>
        <ext uri="smNativeData">
          <pm:rowDef xmlns:pm="smNativeData" id="1749180287" r="84" hidden="0" collapsedDB="1" collapsedOL="0"/>
        </ext>
      </extLst>
    </row>
    <row r="85" spans="1:27" hidden="1">
      <c r="A85" s="16">
        <f>B85-DATE(2022,10,11)</f>
        <v>49</v>
      </c>
      <c r="B85" s="1" t="n">
        <v>44894</v>
      </c>
      <c r="C85" t="n">
        <v>6</v>
      </c>
      <c r="D85" t="s">
        <v>49</v>
      </c>
      <c r="E85" s="2" t="n">
        <v>19</v>
      </c>
      <c r="F85" t="n">
        <v>0</v>
      </c>
      <c r="G85" s="4">
        <f>SUM(H85:I85)</f>
        <v>7</v>
      </c>
      <c r="H85" t="n">
        <v>7</v>
      </c>
      <c r="J85" t="n">
        <v>0</v>
      </c>
      <c r="K85" t="n">
        <v>0</v>
      </c>
      <c r="M85" s="3" t="n">
        <v>10</v>
      </c>
      <c r="N85" t="s">
        <v>30</v>
      </c>
      <c r="O85" t="s">
        <v>30</v>
      </c>
      <c r="AA85" s="17"/>
      <extLst>
        <ext uri="smNativeData">
          <pm:rowDef xmlns:pm="smNativeData" id="1749180287" r="85" hidden="0" collapsedDB="1" collapsedOL="0"/>
        </ext>
      </extLst>
    </row>
    <row r="86" spans="1:27" hidden="1">
      <c r="A86" s="16">
        <f>B86-DATE(2022,10,11)</f>
        <v>49</v>
      </c>
      <c r="B86" s="1" t="n">
        <v>44894</v>
      </c>
      <c r="C86" t="n">
        <v>6</v>
      </c>
      <c r="D86" t="s">
        <v>49</v>
      </c>
      <c r="E86" s="2" t="n">
        <v>19</v>
      </c>
      <c r="F86" t="n">
        <v>0</v>
      </c>
      <c r="G86" s="4">
        <f>SUM(H86:I86)</f>
        <v>7</v>
      </c>
      <c r="H86" t="n">
        <v>7</v>
      </c>
      <c r="J86" t="n">
        <v>0</v>
      </c>
      <c r="K86" t="n">
        <v>0</v>
      </c>
      <c r="M86" s="3" t="n">
        <v>10</v>
      </c>
      <c r="N86" t="s">
        <v>30</v>
      </c>
      <c r="O86" t="s">
        <v>30</v>
      </c>
      <c r="AA86" s="17"/>
      <extLst>
        <ext uri="smNativeData">
          <pm:rowDef xmlns:pm="smNativeData" id="1749180287" r="86" hidden="0" collapsedDB="1" collapsedOL="0"/>
        </ext>
      </extLst>
    </row>
    <row r="87" spans="1:27" hidden="1">
      <c r="A87" s="16">
        <f>B87-DATE(2022,10,11)</f>
        <v>49</v>
      </c>
      <c r="B87" s="1" t="n">
        <v>44894</v>
      </c>
      <c r="C87" t="n">
        <v>6</v>
      </c>
      <c r="D87" t="s">
        <v>49</v>
      </c>
      <c r="E87" s="2" t="n">
        <v>19</v>
      </c>
      <c r="F87" t="n">
        <v>0</v>
      </c>
      <c r="G87" s="4">
        <f>SUM(H87:I87)</f>
        <v>7</v>
      </c>
      <c r="H87" t="n">
        <v>7</v>
      </c>
      <c r="J87" t="n">
        <v>0</v>
      </c>
      <c r="K87" t="n">
        <v>0</v>
      </c>
      <c r="M87" s="3" t="n">
        <v>10</v>
      </c>
      <c r="N87" t="s">
        <v>30</v>
      </c>
      <c r="O87" t="s">
        <v>30</v>
      </c>
      <c r="AA87" s="17"/>
      <extLst>
        <ext uri="smNativeData">
          <pm:rowDef xmlns:pm="smNativeData" id="1749180287" r="87" hidden="0" collapsedDB="1" collapsedOL="0"/>
        </ext>
      </extLst>
    </row>
    <row r="88" spans="1:27" hidden="1">
      <c r="A88" s="16">
        <f>B88-DATE(2022,10,11)</f>
        <v>49</v>
      </c>
      <c r="B88" s="1" t="n">
        <v>44894</v>
      </c>
      <c r="C88" t="n">
        <v>6</v>
      </c>
      <c r="D88" t="s">
        <v>49</v>
      </c>
      <c r="E88" s="2" t="n">
        <v>19</v>
      </c>
      <c r="F88" t="n">
        <v>0</v>
      </c>
      <c r="G88" s="4">
        <f>SUM(H88:I88)</f>
        <v>7</v>
      </c>
      <c r="H88" t="n">
        <v>7</v>
      </c>
      <c r="J88" t="n">
        <v>0</v>
      </c>
      <c r="K88" t="n">
        <v>0</v>
      </c>
      <c r="M88" s="3" t="n">
        <v>10</v>
      </c>
      <c r="N88" t="s">
        <v>30</v>
      </c>
      <c r="O88" t="s">
        <v>30</v>
      </c>
      <c r="AA88" s="17"/>
      <extLst>
        <ext uri="smNativeData">
          <pm:rowDef xmlns:pm="smNativeData" id="1749180287" r="88" hidden="0" collapsedDB="1" collapsedOL="0"/>
        </ext>
      </extLst>
    </row>
    <row r="89" spans="1:28">
      <c r="A89" s="11">
        <f>B89-DATE(2022,10,11)</f>
        <v>49</v>
      </c>
      <c r="B89" s="12" t="n">
        <v>44894</v>
      </c>
      <c r="C89" s="13" t="n">
        <v>6</v>
      </c>
      <c r="D89" s="13" t="s">
        <v>52</v>
      </c>
      <c r="E89" s="14" t="n">
        <v>18</v>
      </c>
      <c r="F89" s="13" t="n">
        <v>0</v>
      </c>
      <c r="G89" s="63">
        <f>SUM(H89:I89)</f>
        <v>7</v>
      </c>
      <c r="H89" s="13" t="n">
        <v>7</v>
      </c>
      <c r="I89" s="13"/>
      <c r="J89" s="13" t="n">
        <v>0</v>
      </c>
      <c r="K89" s="13" t="n">
        <v>0</v>
      </c>
      <c r="L89" s="26" t="s">
        <v>50</v>
      </c>
      <c r="M89" s="49" t="n">
        <v>3</v>
      </c>
      <c r="N89" s="13" t="s">
        <v>30</v>
      </c>
      <c r="O89" s="13" t="s">
        <v>30</v>
      </c>
      <c r="P89" s="13" t="s">
        <v>31</v>
      </c>
      <c r="Q89" s="13" t="s">
        <v>46</v>
      </c>
      <c r="R89" s="13" t="s">
        <v>76</v>
      </c>
      <c r="S89" s="13" t="s">
        <v>34</v>
      </c>
      <c r="T89" s="13" t="s">
        <v>57</v>
      </c>
      <c r="U89" s="13" t="s">
        <v>34</v>
      </c>
      <c r="V89" s="13" t="s">
        <v>33</v>
      </c>
      <c r="W89" s="13" t="s">
        <v>35</v>
      </c>
      <c r="X89" s="13" t="n">
        <v>33</v>
      </c>
      <c r="Y89" s="13"/>
      <c r="Z89" s="13"/>
      <c r="AA89" s="15" t="s">
        <v>37</v>
      </c>
      <c r="AB89" t="s">
        <v>38</v>
      </c>
    </row>
    <row r="90" spans="1:28">
      <c r="A90" s="16">
        <f>B90-DATE(2022,10,11)</f>
        <v>49</v>
      </c>
      <c r="B90" s="1" t="n">
        <v>44894</v>
      </c>
      <c r="C90" t="n">
        <v>6</v>
      </c>
      <c r="D90" t="s">
        <v>52</v>
      </c>
      <c r="E90" s="2" t="n">
        <v>18</v>
      </c>
      <c r="F90" t="n">
        <v>0</v>
      </c>
      <c r="G90" s="4">
        <f>SUM(H90:I90)</f>
        <v>7</v>
      </c>
      <c r="H90" t="n">
        <v>7</v>
      </c>
      <c r="J90" t="n">
        <v>0</v>
      </c>
      <c r="K90" t="n">
        <v>0</v>
      </c>
      <c r="L90" s="25" t="s">
        <v>50</v>
      </c>
      <c r="M90" s="3" t="n">
        <v>3</v>
      </c>
      <c r="N90" t="s">
        <v>30</v>
      </c>
      <c r="O90" t="s">
        <v>30</v>
      </c>
      <c r="P90" t="s">
        <v>31</v>
      </c>
      <c r="Q90" t="s">
        <v>46</v>
      </c>
      <c r="R90" t="s">
        <v>76</v>
      </c>
      <c r="S90" t="s">
        <v>34</v>
      </c>
      <c r="T90" t="s">
        <v>57</v>
      </c>
      <c r="U90" t="s">
        <v>34</v>
      </c>
      <c r="V90" t="s">
        <v>34</v>
      </c>
      <c r="W90" t="s">
        <v>35</v>
      </c>
      <c r="X90" t="n">
        <v>39</v>
      </c>
      <c r="AA90" s="17" t="s">
        <v>37</v>
      </c>
      <c r="AB90" t="s">
        <v>38</v>
      </c>
    </row>
    <row r="91" spans="1:28">
      <c r="A91" s="31">
        <f>B91-DATE(2022,10,11)</f>
        <v>49</v>
      </c>
      <c r="B91" s="32" t="n">
        <v>44894</v>
      </c>
      <c r="C91" s="33" t="n">
        <v>6</v>
      </c>
      <c r="D91" s="33" t="s">
        <v>52</v>
      </c>
      <c r="E91" s="5" t="n">
        <v>18</v>
      </c>
      <c r="F91" s="33" t="n">
        <v>0</v>
      </c>
      <c r="G91" s="6">
        <f>SUM(H91:I91)</f>
        <v>7</v>
      </c>
      <c r="H91" s="33" t="n">
        <v>7</v>
      </c>
      <c r="I91" s="33"/>
      <c r="J91" s="33" t="n">
        <v>0</v>
      </c>
      <c r="K91" s="33" t="n">
        <v>0</v>
      </c>
      <c r="L91" s="53" t="s">
        <v>50</v>
      </c>
      <c r="M91" s="50" t="n">
        <v>3</v>
      </c>
      <c r="N91" s="33" t="s">
        <v>30</v>
      </c>
      <c r="O91" s="33" t="s">
        <v>30</v>
      </c>
      <c r="P91" s="33" t="s">
        <v>31</v>
      </c>
      <c r="Q91" s="33" t="s">
        <v>46</v>
      </c>
      <c r="R91" s="33" t="s">
        <v>76</v>
      </c>
      <c r="S91" s="33" t="s">
        <v>34</v>
      </c>
      <c r="T91" s="33" t="s">
        <v>34</v>
      </c>
      <c r="U91" s="33" t="s">
        <v>34</v>
      </c>
      <c r="V91" s="33" t="s">
        <v>34</v>
      </c>
      <c r="W91" s="33" t="s">
        <v>35</v>
      </c>
      <c r="X91" s="33" t="n">
        <v>67</v>
      </c>
      <c r="Y91" s="33"/>
      <c r="Z91" s="33"/>
      <c r="AA91" s="34" t="s">
        <v>37</v>
      </c>
      <c r="AB91" t="s">
        <v>38</v>
      </c>
    </row>
    <row r="92" spans="1:27" hidden="1">
      <c r="A92" s="31">
        <f>B92-DATE(2022,10,11)</f>
        <v>49</v>
      </c>
      <c r="B92" s="32" t="n">
        <v>44894</v>
      </c>
      <c r="C92" s="33" t="n">
        <v>6</v>
      </c>
      <c r="D92" s="33" t="s">
        <v>41</v>
      </c>
      <c r="E92" s="5">
        <f>2+10</f>
        <v>12</v>
      </c>
      <c r="F92" s="33" t="n">
        <v>0</v>
      </c>
      <c r="G92" s="6">
        <f>SUM(H92:I92)</f>
        <v>2</v>
      </c>
      <c r="H92" s="33" t="n">
        <v>2</v>
      </c>
      <c r="I92" s="33"/>
      <c r="J92" s="33" t="n">
        <v>0</v>
      </c>
      <c r="K92" s="33" t="n">
        <v>0</v>
      </c>
      <c r="L92" s="53" t="s">
        <v>47</v>
      </c>
      <c r="M92" s="33" t="n">
        <v>1</v>
      </c>
      <c r="N92" s="33" t="n">
        <v>2</v>
      </c>
      <c r="O92" s="33" t="n">
        <v>10</v>
      </c>
      <c r="P92" s="33" t="s">
        <v>31</v>
      </c>
      <c r="Q92" s="33" t="s">
        <v>34</v>
      </c>
      <c r="R92" s="33" t="s">
        <v>33</v>
      </c>
      <c r="S92" s="33" t="s">
        <v>34</v>
      </c>
      <c r="T92" s="33" t="s">
        <v>57</v>
      </c>
      <c r="U92" s="33" t="s">
        <v>34</v>
      </c>
      <c r="V92" s="33" t="s">
        <v>33</v>
      </c>
      <c r="W92" s="33" t="s">
        <v>85</v>
      </c>
      <c r="X92" s="33" t="n">
        <v>0</v>
      </c>
      <c r="Y92" s="33" t="s">
        <v>57</v>
      </c>
      <c r="Z92" s="33"/>
      <c r="AA92" s="34"/>
      <extLst>
        <ext uri="smNativeData">
          <pm:rowDef xmlns:pm="smNativeData" id="1749180287" r="92" hidden="0" collapsedDB="1" collapsedOL="0"/>
        </ext>
      </extLst>
    </row>
    <row r="93" spans="1:28">
      <c r="A93" s="31">
        <f>B93-DATE(2022,10,11)</f>
        <v>52</v>
      </c>
      <c r="B93" s="32" t="n">
        <v>44897</v>
      </c>
      <c r="C93" s="33" t="n">
        <v>6</v>
      </c>
      <c r="D93" s="33" t="s">
        <v>28</v>
      </c>
      <c r="E93" s="5" t="n">
        <v>19</v>
      </c>
      <c r="F93" s="33" t="n">
        <v>0</v>
      </c>
      <c r="G93" s="6">
        <f>SUM(H93:I93)</f>
        <v>8</v>
      </c>
      <c r="H93" s="33" t="n">
        <v>8</v>
      </c>
      <c r="I93" s="33"/>
      <c r="J93" s="33" t="n">
        <v>0</v>
      </c>
      <c r="K93" s="33" t="n">
        <v>0</v>
      </c>
      <c r="L93" s="53" t="s">
        <v>86</v>
      </c>
      <c r="M93" s="50" t="n">
        <v>1</v>
      </c>
      <c r="N93" s="33" t="s">
        <v>30</v>
      </c>
      <c r="O93" s="33" t="s">
        <v>30</v>
      </c>
      <c r="P93" s="33" t="s">
        <v>31</v>
      </c>
      <c r="Q93" s="33" t="s">
        <v>46</v>
      </c>
      <c r="R93" s="33" t="s">
        <v>33</v>
      </c>
      <c r="S93" s="33" t="s">
        <v>34</v>
      </c>
      <c r="T93" s="33" t="s">
        <v>57</v>
      </c>
      <c r="U93" s="33" t="s">
        <v>34</v>
      </c>
      <c r="V93" s="33" t="s">
        <v>34</v>
      </c>
      <c r="W93" s="33" t="s">
        <v>87</v>
      </c>
      <c r="X93" s="33" t="n">
        <v>53</v>
      </c>
      <c r="Y93" s="33" t="s">
        <v>57</v>
      </c>
      <c r="Z93" s="33"/>
      <c r="AA93" s="34" t="s">
        <v>37</v>
      </c>
      <c r="AB93" t="s">
        <v>38</v>
      </c>
    </row>
    <row r="94" spans="1:27" hidden="1">
      <c r="A94" s="62">
        <f>B94-DATE(2022,10,11)</f>
        <v>56</v>
      </c>
      <c r="B94" s="7" t="n">
        <v>44901</v>
      </c>
      <c r="C94" s="8" t="n">
        <v>6</v>
      </c>
      <c r="D94" s="8" t="s">
        <v>49</v>
      </c>
      <c r="E94" s="9" t="n">
        <v>19</v>
      </c>
      <c r="F94" s="8" t="n">
        <v>0</v>
      </c>
      <c r="G94" s="10">
        <f>SUM(H94:I94)</f>
        <v>6</v>
      </c>
      <c r="H94" s="8" t="n">
        <v>6</v>
      </c>
      <c r="I94" s="8"/>
      <c r="J94" s="8" t="n">
        <v>0</v>
      </c>
      <c r="K94" s="8" t="n">
        <v>0</v>
      </c>
      <c r="L94" s="57" t="s">
        <v>88</v>
      </c>
      <c r="M94" s="8" t="n">
        <v>24</v>
      </c>
      <c r="N94" s="8" t="s">
        <v>30</v>
      </c>
      <c r="O94" s="8" t="s">
        <v>30</v>
      </c>
      <c r="P94" s="8" t="s">
        <v>89</v>
      </c>
      <c r="AA94" s="17"/>
      <extLst>
        <ext uri="smNativeData">
          <pm:rowDef xmlns:pm="smNativeData" id="1749180287" r="94" hidden="0" collapsedDB="1" collapsedOL="0"/>
        </ext>
      </extLst>
    </row>
    <row r="95" spans="1:27" hidden="1">
      <c r="A95" s="62">
        <f>B95-DATE(2022,10,11)</f>
        <v>56</v>
      </c>
      <c r="B95" s="7" t="n">
        <v>44901</v>
      </c>
      <c r="C95" s="8" t="n">
        <v>6</v>
      </c>
      <c r="D95" s="8" t="s">
        <v>49</v>
      </c>
      <c r="E95" s="9" t="n">
        <v>19</v>
      </c>
      <c r="F95" s="8" t="n">
        <v>0</v>
      </c>
      <c r="G95" s="61">
        <f>SUM(H95:I95)</f>
        <v>6</v>
      </c>
      <c r="H95" s="8" t="n">
        <v>6</v>
      </c>
      <c r="I95" s="8"/>
      <c r="J95" s="8" t="n">
        <v>0</v>
      </c>
      <c r="K95" s="8" t="n">
        <v>0</v>
      </c>
      <c r="L95" s="57"/>
      <c r="M95" s="8" t="n">
        <v>24</v>
      </c>
      <c r="N95" s="8" t="s">
        <v>30</v>
      </c>
      <c r="O95" s="8" t="s">
        <v>30</v>
      </c>
      <c r="P95" s="8" t="s">
        <v>89</v>
      </c>
      <c r="AA95" s="17"/>
      <extLst>
        <ext uri="smNativeData">
          <pm:rowDef xmlns:pm="smNativeData" id="1749180287" r="95" hidden="0" collapsedDB="1" collapsedOL="0"/>
        </ext>
      </extLst>
    </row>
    <row r="96" spans="1:27" hidden="1">
      <c r="A96" s="62">
        <f>B96-DATE(2022,10,11)</f>
        <v>56</v>
      </c>
      <c r="B96" s="7" t="n">
        <v>44901</v>
      </c>
      <c r="C96" s="8" t="n">
        <v>6</v>
      </c>
      <c r="D96" s="8" t="s">
        <v>49</v>
      </c>
      <c r="E96" s="9" t="n">
        <v>19</v>
      </c>
      <c r="F96" s="8" t="n">
        <v>0</v>
      </c>
      <c r="G96" s="61">
        <f>SUM(H96:I96)</f>
        <v>6</v>
      </c>
      <c r="H96" s="8" t="n">
        <v>6</v>
      </c>
      <c r="I96" s="8"/>
      <c r="J96" s="8" t="n">
        <v>0</v>
      </c>
      <c r="K96" s="8" t="n">
        <v>0</v>
      </c>
      <c r="L96" s="57"/>
      <c r="M96" s="8" t="n">
        <v>24</v>
      </c>
      <c r="N96" s="8" t="s">
        <v>30</v>
      </c>
      <c r="O96" s="8" t="s">
        <v>30</v>
      </c>
      <c r="P96" s="8" t="s">
        <v>89</v>
      </c>
      <c r="AA96" s="17"/>
      <extLst>
        <ext uri="smNativeData">
          <pm:rowDef xmlns:pm="smNativeData" id="1749180287" r="96" hidden="0" collapsedDB="1" collapsedOL="0"/>
        </ext>
      </extLst>
    </row>
    <row r="97" spans="1:27" hidden="1">
      <c r="A97" s="62">
        <f>B97-DATE(2022,10,11)</f>
        <v>56</v>
      </c>
      <c r="B97" s="7" t="n">
        <v>44901</v>
      </c>
      <c r="C97" s="8" t="n">
        <v>6</v>
      </c>
      <c r="D97" s="8" t="s">
        <v>49</v>
      </c>
      <c r="E97" s="9" t="n">
        <v>19</v>
      </c>
      <c r="F97" s="8" t="n">
        <v>0</v>
      </c>
      <c r="G97" s="61">
        <f>SUM(H97:I97)</f>
        <v>6</v>
      </c>
      <c r="H97" s="8" t="n">
        <v>6</v>
      </c>
      <c r="I97" s="8"/>
      <c r="J97" s="8" t="n">
        <v>0</v>
      </c>
      <c r="K97" s="8" t="n">
        <v>0</v>
      </c>
      <c r="L97" s="57"/>
      <c r="M97" s="8" t="n">
        <v>24</v>
      </c>
      <c r="N97" s="8" t="s">
        <v>30</v>
      </c>
      <c r="O97" s="8" t="s">
        <v>30</v>
      </c>
      <c r="P97" s="8" t="s">
        <v>89</v>
      </c>
      <c r="AA97" s="17"/>
      <extLst>
        <ext uri="smNativeData">
          <pm:rowDef xmlns:pm="smNativeData" id="1749180287" r="97" hidden="0" collapsedDB="1" collapsedOL="0"/>
        </ext>
      </extLst>
    </row>
    <row r="98" spans="1:27" hidden="1">
      <c r="A98" s="62">
        <f>B98-DATE(2022,10,11)</f>
        <v>56</v>
      </c>
      <c r="B98" s="7" t="n">
        <v>44901</v>
      </c>
      <c r="C98" s="8" t="n">
        <v>6</v>
      </c>
      <c r="D98" s="8" t="s">
        <v>49</v>
      </c>
      <c r="E98" s="9" t="n">
        <v>19</v>
      </c>
      <c r="F98" s="8" t="n">
        <v>0</v>
      </c>
      <c r="G98" s="61">
        <f>SUM(H98:I98)</f>
        <v>6</v>
      </c>
      <c r="H98" s="8" t="n">
        <v>6</v>
      </c>
      <c r="I98" s="8"/>
      <c r="J98" s="8" t="n">
        <v>0</v>
      </c>
      <c r="K98" s="8" t="n">
        <v>0</v>
      </c>
      <c r="L98" s="57"/>
      <c r="M98" s="8" t="n">
        <v>24</v>
      </c>
      <c r="N98" s="8" t="s">
        <v>30</v>
      </c>
      <c r="O98" s="8" t="s">
        <v>30</v>
      </c>
      <c r="P98" s="8" t="s">
        <v>89</v>
      </c>
      <c r="AA98" s="17"/>
      <extLst>
        <ext uri="smNativeData">
          <pm:rowDef xmlns:pm="smNativeData" id="1749180287" r="98" hidden="0" collapsedDB="1" collapsedOL="0"/>
        </ext>
      </extLst>
    </row>
    <row r="99" spans="1:27" hidden="1">
      <c r="A99" s="62">
        <f>B99-DATE(2022,10,11)</f>
        <v>56</v>
      </c>
      <c r="B99" s="7" t="n">
        <v>44901</v>
      </c>
      <c r="C99" s="8" t="n">
        <v>6</v>
      </c>
      <c r="D99" s="8" t="s">
        <v>49</v>
      </c>
      <c r="E99" s="9" t="n">
        <v>19</v>
      </c>
      <c r="F99" s="8" t="n">
        <v>0</v>
      </c>
      <c r="G99" s="61">
        <f>SUM(H99:I99)</f>
        <v>6</v>
      </c>
      <c r="H99" s="8" t="n">
        <v>6</v>
      </c>
      <c r="I99" s="8"/>
      <c r="J99" s="8" t="n">
        <v>0</v>
      </c>
      <c r="K99" s="8" t="n">
        <v>0</v>
      </c>
      <c r="L99" s="57"/>
      <c r="M99" s="8" t="n">
        <v>24</v>
      </c>
      <c r="N99" s="8" t="s">
        <v>30</v>
      </c>
      <c r="O99" s="8" t="s">
        <v>30</v>
      </c>
      <c r="P99" s="8" t="s">
        <v>89</v>
      </c>
      <c r="AA99" s="17"/>
      <extLst>
        <ext uri="smNativeData">
          <pm:rowDef xmlns:pm="smNativeData" id="1749180287" r="99" hidden="0" collapsedDB="1" collapsedOL="0"/>
        </ext>
      </extLst>
    </row>
    <row r="100" spans="1:27" hidden="1">
      <c r="A100" s="62">
        <f>B100-DATE(2022,10,11)</f>
        <v>56</v>
      </c>
      <c r="B100" s="7" t="n">
        <v>44901</v>
      </c>
      <c r="C100" s="8" t="n">
        <v>6</v>
      </c>
      <c r="D100" s="8" t="s">
        <v>49</v>
      </c>
      <c r="E100" s="9" t="n">
        <v>19</v>
      </c>
      <c r="F100" s="8" t="n">
        <v>0</v>
      </c>
      <c r="G100" s="61">
        <f>SUM(H100:I100)</f>
        <v>6</v>
      </c>
      <c r="H100" s="8" t="n">
        <v>6</v>
      </c>
      <c r="I100" s="8"/>
      <c r="J100" s="8" t="n">
        <v>0</v>
      </c>
      <c r="K100" s="8" t="n">
        <v>0</v>
      </c>
      <c r="L100" s="57"/>
      <c r="M100" s="8" t="n">
        <v>24</v>
      </c>
      <c r="N100" s="8" t="s">
        <v>30</v>
      </c>
      <c r="O100" s="8" t="s">
        <v>30</v>
      </c>
      <c r="P100" s="8" t="s">
        <v>89</v>
      </c>
      <c r="AA100" s="17"/>
      <extLst>
        <ext uri="smNativeData">
          <pm:rowDef xmlns:pm="smNativeData" id="1749180287" r="100" hidden="0" collapsedDB="1" collapsedOL="0"/>
        </ext>
      </extLst>
    </row>
    <row r="101" spans="1:27" hidden="1">
      <c r="A101" s="62">
        <f>B101-DATE(2022,10,11)</f>
        <v>56</v>
      </c>
      <c r="B101" s="7" t="n">
        <v>44901</v>
      </c>
      <c r="C101" s="8" t="n">
        <v>6</v>
      </c>
      <c r="D101" s="8" t="s">
        <v>49</v>
      </c>
      <c r="E101" s="9" t="n">
        <v>19</v>
      </c>
      <c r="F101" s="8" t="n">
        <v>0</v>
      </c>
      <c r="G101" s="61">
        <f>SUM(H101:I101)</f>
        <v>6</v>
      </c>
      <c r="H101" s="8" t="n">
        <v>6</v>
      </c>
      <c r="I101" s="8"/>
      <c r="J101" s="8" t="n">
        <v>0</v>
      </c>
      <c r="K101" s="8" t="n">
        <v>0</v>
      </c>
      <c r="L101" s="57"/>
      <c r="M101" s="8" t="n">
        <v>24</v>
      </c>
      <c r="N101" s="8" t="s">
        <v>30</v>
      </c>
      <c r="O101" s="8" t="s">
        <v>30</v>
      </c>
      <c r="P101" s="8" t="s">
        <v>89</v>
      </c>
      <c r="AA101" s="17"/>
      <extLst>
        <ext uri="smNativeData">
          <pm:rowDef xmlns:pm="smNativeData" id="1749180287" r="101" hidden="0" collapsedDB="1" collapsedOL="0"/>
        </ext>
      </extLst>
    </row>
    <row r="102" spans="1:27" hidden="1">
      <c r="A102" s="62">
        <f>B102-DATE(2022,10,11)</f>
        <v>56</v>
      </c>
      <c r="B102" s="7" t="n">
        <v>44901</v>
      </c>
      <c r="C102" s="8" t="n">
        <v>6</v>
      </c>
      <c r="D102" s="8" t="s">
        <v>49</v>
      </c>
      <c r="E102" s="9" t="n">
        <v>19</v>
      </c>
      <c r="F102" s="8" t="n">
        <v>0</v>
      </c>
      <c r="G102" s="61">
        <f>SUM(H102:I102)</f>
        <v>6</v>
      </c>
      <c r="H102" s="8" t="n">
        <v>6</v>
      </c>
      <c r="I102" s="8"/>
      <c r="J102" s="8" t="n">
        <v>0</v>
      </c>
      <c r="K102" s="8" t="n">
        <v>0</v>
      </c>
      <c r="L102" s="57"/>
      <c r="M102" s="8" t="n">
        <v>24</v>
      </c>
      <c r="N102" s="8" t="s">
        <v>30</v>
      </c>
      <c r="O102" s="8" t="s">
        <v>30</v>
      </c>
      <c r="P102" s="8" t="s">
        <v>89</v>
      </c>
      <c r="AA102" s="17"/>
      <extLst>
        <ext uri="smNativeData">
          <pm:rowDef xmlns:pm="smNativeData" id="1749180287" r="102" hidden="0" collapsedDB="1" collapsedOL="0"/>
        </ext>
      </extLst>
    </row>
    <row r="103" spans="1:27" hidden="1">
      <c r="A103" s="62">
        <f>B103-DATE(2022,10,11)</f>
        <v>56</v>
      </c>
      <c r="B103" s="7" t="n">
        <v>44901</v>
      </c>
      <c r="C103" s="8" t="n">
        <v>6</v>
      </c>
      <c r="D103" s="8" t="s">
        <v>49</v>
      </c>
      <c r="E103" s="9" t="n">
        <v>19</v>
      </c>
      <c r="F103" s="8" t="n">
        <v>0</v>
      </c>
      <c r="G103" s="61">
        <f>SUM(H103:I103)</f>
        <v>6</v>
      </c>
      <c r="H103" s="8" t="n">
        <v>6</v>
      </c>
      <c r="I103" s="8"/>
      <c r="J103" s="8" t="n">
        <v>0</v>
      </c>
      <c r="K103" s="8" t="n">
        <v>0</v>
      </c>
      <c r="L103" s="57"/>
      <c r="M103" s="8" t="n">
        <v>24</v>
      </c>
      <c r="N103" s="8" t="s">
        <v>30</v>
      </c>
      <c r="O103" s="8" t="s">
        <v>30</v>
      </c>
      <c r="P103" s="8" t="s">
        <v>89</v>
      </c>
      <c r="AA103" s="17"/>
      <extLst>
        <ext uri="smNativeData">
          <pm:rowDef xmlns:pm="smNativeData" id="1749180287" r="103" hidden="0" collapsedDB="1" collapsedOL="0"/>
        </ext>
      </extLst>
    </row>
    <row r="104" spans="1:27" hidden="1">
      <c r="A104" s="62">
        <f>B104-DATE(2022,10,11)</f>
        <v>56</v>
      </c>
      <c r="B104" s="7" t="n">
        <v>44901</v>
      </c>
      <c r="C104" s="8" t="n">
        <v>6</v>
      </c>
      <c r="D104" s="8" t="s">
        <v>49</v>
      </c>
      <c r="E104" s="9" t="n">
        <v>19</v>
      </c>
      <c r="F104" s="8" t="n">
        <v>0</v>
      </c>
      <c r="G104" s="61">
        <f>SUM(H104:I104)</f>
        <v>6</v>
      </c>
      <c r="H104" s="8" t="n">
        <v>6</v>
      </c>
      <c r="I104" s="8"/>
      <c r="J104" s="8" t="n">
        <v>0</v>
      </c>
      <c r="K104" s="8" t="n">
        <v>0</v>
      </c>
      <c r="L104" s="57"/>
      <c r="M104" s="8" t="n">
        <v>24</v>
      </c>
      <c r="N104" s="8" t="s">
        <v>30</v>
      </c>
      <c r="O104" s="8" t="s">
        <v>30</v>
      </c>
      <c r="P104" s="8" t="s">
        <v>89</v>
      </c>
      <c r="AA104" s="17"/>
      <extLst>
        <ext uri="smNativeData">
          <pm:rowDef xmlns:pm="smNativeData" id="1749180287" r="104" hidden="0" collapsedDB="1" collapsedOL="0"/>
        </ext>
      </extLst>
    </row>
    <row r="105" spans="1:27" hidden="1">
      <c r="A105" s="62">
        <f>B105-DATE(2022,10,11)</f>
        <v>56</v>
      </c>
      <c r="B105" s="7" t="n">
        <v>44901</v>
      </c>
      <c r="C105" s="8" t="n">
        <v>6</v>
      </c>
      <c r="D105" s="8" t="s">
        <v>49</v>
      </c>
      <c r="E105" s="9" t="n">
        <v>19</v>
      </c>
      <c r="F105" s="8" t="n">
        <v>0</v>
      </c>
      <c r="G105" s="61">
        <f>SUM(H105:I105)</f>
        <v>6</v>
      </c>
      <c r="H105" s="8" t="n">
        <v>6</v>
      </c>
      <c r="I105" s="8"/>
      <c r="J105" s="8" t="n">
        <v>0</v>
      </c>
      <c r="K105" s="8" t="n">
        <v>0</v>
      </c>
      <c r="L105" s="57"/>
      <c r="M105" s="8" t="n">
        <v>24</v>
      </c>
      <c r="N105" s="8" t="s">
        <v>30</v>
      </c>
      <c r="O105" s="8" t="s">
        <v>30</v>
      </c>
      <c r="P105" s="8" t="s">
        <v>89</v>
      </c>
      <c r="AA105" s="17"/>
      <extLst>
        <ext uri="smNativeData">
          <pm:rowDef xmlns:pm="smNativeData" id="1749180287" r="105" hidden="0" collapsedDB="1" collapsedOL="0"/>
        </ext>
      </extLst>
    </row>
    <row r="106" spans="1:27" hidden="1">
      <c r="A106" s="62">
        <f>B106-DATE(2022,10,11)</f>
        <v>56</v>
      </c>
      <c r="B106" s="7" t="n">
        <v>44901</v>
      </c>
      <c r="C106" s="8" t="n">
        <v>6</v>
      </c>
      <c r="D106" s="8" t="s">
        <v>49</v>
      </c>
      <c r="E106" s="9" t="n">
        <v>19</v>
      </c>
      <c r="F106" s="8" t="n">
        <v>0</v>
      </c>
      <c r="G106" s="61">
        <f>SUM(H106:I106)</f>
        <v>6</v>
      </c>
      <c r="H106" s="8" t="n">
        <v>6</v>
      </c>
      <c r="I106" s="8"/>
      <c r="J106" s="8" t="n">
        <v>0</v>
      </c>
      <c r="K106" s="8" t="n">
        <v>0</v>
      </c>
      <c r="L106" s="57"/>
      <c r="M106" s="8" t="n">
        <v>24</v>
      </c>
      <c r="N106" s="8" t="s">
        <v>30</v>
      </c>
      <c r="O106" s="8" t="s">
        <v>30</v>
      </c>
      <c r="P106" s="8" t="s">
        <v>89</v>
      </c>
      <c r="AA106" s="17"/>
      <extLst>
        <ext uri="smNativeData">
          <pm:rowDef xmlns:pm="smNativeData" id="1749180287" r="106" hidden="0" collapsedDB="1" collapsedOL="0"/>
        </ext>
      </extLst>
    </row>
    <row r="107" spans="1:27" hidden="1">
      <c r="A107" s="62">
        <f>B107-DATE(2022,10,11)</f>
        <v>56</v>
      </c>
      <c r="B107" s="7" t="n">
        <v>44901</v>
      </c>
      <c r="C107" s="8" t="n">
        <v>6</v>
      </c>
      <c r="D107" s="8" t="s">
        <v>49</v>
      </c>
      <c r="E107" s="9" t="n">
        <v>19</v>
      </c>
      <c r="F107" s="8" t="n">
        <v>0</v>
      </c>
      <c r="G107" s="61">
        <f>SUM(H107:I107)</f>
        <v>6</v>
      </c>
      <c r="H107" s="8" t="n">
        <v>6</v>
      </c>
      <c r="I107" s="8"/>
      <c r="J107" s="8" t="n">
        <v>0</v>
      </c>
      <c r="K107" s="8" t="n">
        <v>0</v>
      </c>
      <c r="L107" s="57"/>
      <c r="M107" s="8" t="n">
        <v>24</v>
      </c>
      <c r="N107" s="8" t="s">
        <v>30</v>
      </c>
      <c r="O107" s="8" t="s">
        <v>30</v>
      </c>
      <c r="P107" s="8" t="s">
        <v>89</v>
      </c>
      <c r="AA107" s="17"/>
      <extLst>
        <ext uri="smNativeData">
          <pm:rowDef xmlns:pm="smNativeData" id="1749180287" r="107" hidden="0" collapsedDB="1" collapsedOL="0"/>
        </ext>
      </extLst>
    </row>
    <row r="108" spans="1:27" hidden="1">
      <c r="A108" s="62">
        <f>B108-DATE(2022,10,11)</f>
        <v>56</v>
      </c>
      <c r="B108" s="7" t="n">
        <v>44901</v>
      </c>
      <c r="C108" s="8" t="n">
        <v>6</v>
      </c>
      <c r="D108" s="8" t="s">
        <v>49</v>
      </c>
      <c r="E108" s="9" t="n">
        <v>19</v>
      </c>
      <c r="F108" s="8" t="n">
        <v>0</v>
      </c>
      <c r="G108" s="61">
        <f>SUM(H108:I108)</f>
        <v>6</v>
      </c>
      <c r="H108" s="8" t="n">
        <v>6</v>
      </c>
      <c r="I108" s="8"/>
      <c r="J108" s="8" t="n">
        <v>0</v>
      </c>
      <c r="K108" s="8" t="n">
        <v>0</v>
      </c>
      <c r="L108" s="57"/>
      <c r="M108" s="8" t="n">
        <v>24</v>
      </c>
      <c r="N108" s="8" t="s">
        <v>30</v>
      </c>
      <c r="O108" s="8" t="s">
        <v>30</v>
      </c>
      <c r="P108" s="8" t="s">
        <v>89</v>
      </c>
      <c r="AA108" s="17"/>
      <extLst>
        <ext uri="smNativeData">
          <pm:rowDef xmlns:pm="smNativeData" id="1749180287" r="108" hidden="0" collapsedDB="1" collapsedOL="0"/>
        </ext>
      </extLst>
    </row>
    <row r="109" spans="1:27" hidden="1">
      <c r="A109" s="62">
        <f>B109-DATE(2022,10,11)</f>
        <v>56</v>
      </c>
      <c r="B109" s="7" t="n">
        <v>44901</v>
      </c>
      <c r="C109" s="8" t="n">
        <v>6</v>
      </c>
      <c r="D109" s="8" t="s">
        <v>49</v>
      </c>
      <c r="E109" s="9" t="n">
        <v>19</v>
      </c>
      <c r="F109" s="8" t="n">
        <v>0</v>
      </c>
      <c r="G109" s="61">
        <f>SUM(H109:I109)</f>
        <v>6</v>
      </c>
      <c r="H109" s="8" t="n">
        <v>6</v>
      </c>
      <c r="I109" s="8"/>
      <c r="J109" s="8" t="n">
        <v>0</v>
      </c>
      <c r="K109" s="8" t="n">
        <v>0</v>
      </c>
      <c r="L109" s="57"/>
      <c r="M109" s="8" t="n">
        <v>24</v>
      </c>
      <c r="N109" s="8" t="s">
        <v>30</v>
      </c>
      <c r="O109" s="8" t="s">
        <v>30</v>
      </c>
      <c r="P109" s="8" t="s">
        <v>89</v>
      </c>
      <c r="AA109" s="17"/>
      <extLst>
        <ext uri="smNativeData">
          <pm:rowDef xmlns:pm="smNativeData" id="1749180287" r="109" hidden="0" collapsedDB="1" collapsedOL="0"/>
        </ext>
      </extLst>
    </row>
    <row r="110" spans="1:27" hidden="1">
      <c r="A110" s="62">
        <f>B110-DATE(2022,10,11)</f>
        <v>56</v>
      </c>
      <c r="B110" s="7" t="n">
        <v>44901</v>
      </c>
      <c r="C110" s="8" t="n">
        <v>6</v>
      </c>
      <c r="D110" s="8" t="s">
        <v>49</v>
      </c>
      <c r="E110" s="9" t="n">
        <v>19</v>
      </c>
      <c r="F110" s="8" t="n">
        <v>0</v>
      </c>
      <c r="G110" s="61">
        <f>SUM(H110:I110)</f>
        <v>6</v>
      </c>
      <c r="H110" s="8" t="n">
        <v>6</v>
      </c>
      <c r="I110" s="8"/>
      <c r="J110" s="8" t="n">
        <v>0</v>
      </c>
      <c r="K110" s="8" t="n">
        <v>0</v>
      </c>
      <c r="L110" s="57"/>
      <c r="M110" s="8" t="n">
        <v>24</v>
      </c>
      <c r="N110" s="8" t="s">
        <v>30</v>
      </c>
      <c r="O110" s="8" t="s">
        <v>30</v>
      </c>
      <c r="P110" s="8" t="s">
        <v>89</v>
      </c>
      <c r="AA110" s="17"/>
      <extLst>
        <ext uri="smNativeData">
          <pm:rowDef xmlns:pm="smNativeData" id="1749180287" r="110" hidden="0" collapsedDB="1" collapsedOL="0"/>
        </ext>
      </extLst>
    </row>
    <row r="111" spans="1:27" hidden="1">
      <c r="A111" s="62">
        <f>B111-DATE(2022,10,11)</f>
        <v>56</v>
      </c>
      <c r="B111" s="7" t="n">
        <v>44901</v>
      </c>
      <c r="C111" s="8" t="n">
        <v>6</v>
      </c>
      <c r="D111" s="8" t="s">
        <v>49</v>
      </c>
      <c r="E111" s="9" t="n">
        <v>19</v>
      </c>
      <c r="F111" s="8" t="n">
        <v>0</v>
      </c>
      <c r="G111" s="61">
        <f>SUM(H111:I111)</f>
        <v>6</v>
      </c>
      <c r="H111" s="8" t="n">
        <v>6</v>
      </c>
      <c r="I111" s="8"/>
      <c r="J111" s="8" t="n">
        <v>0</v>
      </c>
      <c r="K111" s="8" t="n">
        <v>0</v>
      </c>
      <c r="L111" s="57"/>
      <c r="M111" s="8" t="n">
        <v>24</v>
      </c>
      <c r="N111" s="8" t="s">
        <v>30</v>
      </c>
      <c r="O111" s="8" t="s">
        <v>30</v>
      </c>
      <c r="P111" s="8" t="s">
        <v>89</v>
      </c>
      <c r="AA111" s="17"/>
      <extLst>
        <ext uri="smNativeData">
          <pm:rowDef xmlns:pm="smNativeData" id="1749180287" r="111" hidden="0" collapsedDB="1" collapsedOL="0"/>
        </ext>
      </extLst>
    </row>
    <row r="112" spans="1:27" hidden="1">
      <c r="A112" s="62">
        <f>B112-DATE(2022,10,11)</f>
        <v>56</v>
      </c>
      <c r="B112" s="7" t="n">
        <v>44901</v>
      </c>
      <c r="C112" s="8" t="n">
        <v>6</v>
      </c>
      <c r="D112" s="8" t="s">
        <v>49</v>
      </c>
      <c r="E112" s="9" t="n">
        <v>19</v>
      </c>
      <c r="F112" s="8" t="n">
        <v>0</v>
      </c>
      <c r="G112" s="61">
        <f>SUM(H112:I112)</f>
        <v>6</v>
      </c>
      <c r="H112" s="8" t="n">
        <v>6</v>
      </c>
      <c r="I112" s="8"/>
      <c r="J112" s="8" t="n">
        <v>0</v>
      </c>
      <c r="K112" s="8" t="n">
        <v>0</v>
      </c>
      <c r="L112" s="57"/>
      <c r="M112" s="8" t="n">
        <v>24</v>
      </c>
      <c r="N112" s="8" t="s">
        <v>30</v>
      </c>
      <c r="O112" s="8" t="s">
        <v>30</v>
      </c>
      <c r="P112" s="8" t="s">
        <v>89</v>
      </c>
      <c r="AA112" s="17"/>
      <extLst>
        <ext uri="smNativeData">
          <pm:rowDef xmlns:pm="smNativeData" id="1749180287" r="112" hidden="0" collapsedDB="1" collapsedOL="0"/>
        </ext>
      </extLst>
    </row>
    <row r="113" spans="1:27" hidden="1">
      <c r="A113" s="62">
        <f>B113-DATE(2022,10,11)</f>
        <v>56</v>
      </c>
      <c r="B113" s="7" t="n">
        <v>44901</v>
      </c>
      <c r="C113" s="8" t="n">
        <v>6</v>
      </c>
      <c r="D113" s="8" t="s">
        <v>49</v>
      </c>
      <c r="E113" s="9" t="n">
        <v>19</v>
      </c>
      <c r="F113" s="8" t="n">
        <v>0</v>
      </c>
      <c r="G113" s="61">
        <f>SUM(H113:I113)</f>
        <v>6</v>
      </c>
      <c r="H113" s="8" t="n">
        <v>6</v>
      </c>
      <c r="I113" s="8"/>
      <c r="J113" s="8" t="n">
        <v>0</v>
      </c>
      <c r="K113" s="8" t="n">
        <v>0</v>
      </c>
      <c r="L113" s="57"/>
      <c r="M113" s="8" t="n">
        <v>24</v>
      </c>
      <c r="N113" s="8" t="s">
        <v>30</v>
      </c>
      <c r="O113" s="8" t="s">
        <v>30</v>
      </c>
      <c r="P113" s="8" t="s">
        <v>89</v>
      </c>
      <c r="AA113" s="17"/>
      <extLst>
        <ext uri="smNativeData">
          <pm:rowDef xmlns:pm="smNativeData" id="1749180287" r="113" hidden="0" collapsedDB="1" collapsedOL="0"/>
        </ext>
      </extLst>
    </row>
    <row r="114" spans="1:27" hidden="1">
      <c r="A114" s="62">
        <f>B114-DATE(2022,10,11)</f>
        <v>56</v>
      </c>
      <c r="B114" s="7" t="n">
        <v>44901</v>
      </c>
      <c r="C114" s="8" t="n">
        <v>6</v>
      </c>
      <c r="D114" s="8" t="s">
        <v>49</v>
      </c>
      <c r="E114" s="9" t="n">
        <v>19</v>
      </c>
      <c r="F114" s="8" t="n">
        <v>0</v>
      </c>
      <c r="G114" s="61">
        <f>SUM(H114:I114)</f>
        <v>6</v>
      </c>
      <c r="H114" s="8" t="n">
        <v>6</v>
      </c>
      <c r="I114" s="8"/>
      <c r="J114" s="8" t="n">
        <v>0</v>
      </c>
      <c r="K114" s="8" t="n">
        <v>0</v>
      </c>
      <c r="L114" s="57"/>
      <c r="M114" s="8" t="n">
        <v>24</v>
      </c>
      <c r="N114" s="8" t="s">
        <v>30</v>
      </c>
      <c r="O114" s="8" t="s">
        <v>30</v>
      </c>
      <c r="P114" s="8" t="s">
        <v>89</v>
      </c>
      <c r="AA114" s="17"/>
      <extLst>
        <ext uri="smNativeData">
          <pm:rowDef xmlns:pm="smNativeData" id="1749180287" r="114" hidden="0" collapsedDB="1" collapsedOL="0"/>
        </ext>
      </extLst>
    </row>
    <row r="115" spans="1:27" hidden="1">
      <c r="A115" s="62">
        <f>B115-DATE(2022,10,11)</f>
        <v>56</v>
      </c>
      <c r="B115" s="7" t="n">
        <v>44901</v>
      </c>
      <c r="C115" s="8" t="n">
        <v>6</v>
      </c>
      <c r="D115" s="8" t="s">
        <v>49</v>
      </c>
      <c r="E115" s="9" t="n">
        <v>19</v>
      </c>
      <c r="F115" s="8" t="n">
        <v>0</v>
      </c>
      <c r="G115" s="61">
        <f>SUM(H115:I115)</f>
        <v>6</v>
      </c>
      <c r="H115" s="8" t="n">
        <v>6</v>
      </c>
      <c r="I115" s="8"/>
      <c r="J115" s="8" t="n">
        <v>0</v>
      </c>
      <c r="K115" s="8" t="n">
        <v>0</v>
      </c>
      <c r="L115" s="57"/>
      <c r="M115" s="8" t="n">
        <v>24</v>
      </c>
      <c r="N115" s="8" t="s">
        <v>30</v>
      </c>
      <c r="O115" s="8" t="s">
        <v>30</v>
      </c>
      <c r="P115" s="8" t="s">
        <v>89</v>
      </c>
      <c r="AA115" s="17"/>
      <extLst>
        <ext uri="smNativeData">
          <pm:rowDef xmlns:pm="smNativeData" id="1749180287" r="115" hidden="0" collapsedDB="1" collapsedOL="0"/>
        </ext>
      </extLst>
    </row>
    <row r="116" spans="1:27" hidden="1">
      <c r="A116" s="62">
        <f>B116-DATE(2022,10,11)</f>
        <v>56</v>
      </c>
      <c r="B116" s="7" t="n">
        <v>44901</v>
      </c>
      <c r="C116" s="8" t="n">
        <v>6</v>
      </c>
      <c r="D116" s="8" t="s">
        <v>49</v>
      </c>
      <c r="E116" s="9" t="n">
        <v>19</v>
      </c>
      <c r="F116" s="8" t="n">
        <v>0</v>
      </c>
      <c r="G116" s="61">
        <f>SUM(H116:I116)</f>
        <v>6</v>
      </c>
      <c r="H116" s="8" t="n">
        <v>6</v>
      </c>
      <c r="I116" s="8"/>
      <c r="J116" s="8" t="n">
        <v>0</v>
      </c>
      <c r="K116" s="8" t="n">
        <v>0</v>
      </c>
      <c r="L116" s="57"/>
      <c r="M116" s="8" t="n">
        <v>24</v>
      </c>
      <c r="N116" s="8" t="s">
        <v>30</v>
      </c>
      <c r="O116" s="8" t="s">
        <v>30</v>
      </c>
      <c r="P116" s="8" t="s">
        <v>89</v>
      </c>
      <c r="AA116" s="17"/>
      <extLst>
        <ext uri="smNativeData">
          <pm:rowDef xmlns:pm="smNativeData" id="1749180287" r="116" hidden="0" collapsedDB="1" collapsedOL="0"/>
        </ext>
      </extLst>
    </row>
    <row r="117" spans="1:27" hidden="1">
      <c r="A117" s="62">
        <f>B117-DATE(2022,10,11)</f>
        <v>56</v>
      </c>
      <c r="B117" s="7" t="n">
        <v>44901</v>
      </c>
      <c r="C117" s="8" t="n">
        <v>6</v>
      </c>
      <c r="D117" s="8" t="s">
        <v>49</v>
      </c>
      <c r="E117" s="9" t="n">
        <v>19</v>
      </c>
      <c r="F117" s="8" t="n">
        <v>0</v>
      </c>
      <c r="G117" s="107">
        <f>SUM(H117:I117)</f>
        <v>6</v>
      </c>
      <c r="H117" s="8" t="n">
        <v>6</v>
      </c>
      <c r="I117" s="8"/>
      <c r="J117" s="8" t="n">
        <v>0</v>
      </c>
      <c r="K117" s="8" t="n">
        <v>0</v>
      </c>
      <c r="L117" s="57"/>
      <c r="M117" s="8" t="n">
        <v>24</v>
      </c>
      <c r="N117" s="8" t="s">
        <v>30</v>
      </c>
      <c r="O117" s="8" t="s">
        <v>30</v>
      </c>
      <c r="P117" s="8" t="s">
        <v>89</v>
      </c>
      <c r="AA117" s="17"/>
      <extLst>
        <ext uri="smNativeData">
          <pm:rowDef xmlns:pm="smNativeData" id="1749180287" r="117" hidden="0" collapsedDB="1" collapsedOL="0"/>
        </ext>
      </extLst>
    </row>
    <row r="118" spans="1:27" hidden="1">
      <c r="A118" s="105">
        <f>B118-DATE(2022,10,11)</f>
        <v>56</v>
      </c>
      <c r="B118" s="106" t="n">
        <v>44901</v>
      </c>
      <c r="C118" s="107" t="n">
        <v>6</v>
      </c>
      <c r="D118" s="107" t="s">
        <v>52</v>
      </c>
      <c r="E118" s="108" t="n">
        <v>18</v>
      </c>
      <c r="F118" s="107" t="n">
        <v>0</v>
      </c>
      <c r="G118" s="61">
        <f>SUM(H118:I118)</f>
        <v>8</v>
      </c>
      <c r="H118" s="107" t="n">
        <v>8</v>
      </c>
      <c r="I118" s="107"/>
      <c r="J118" s="107" t="n">
        <v>0</v>
      </c>
      <c r="K118" s="107" t="n">
        <v>0</v>
      </c>
      <c r="L118" s="109" t="s">
        <v>90</v>
      </c>
      <c r="M118" s="107" t="n">
        <v>3</v>
      </c>
      <c r="N118" s="107" t="s">
        <v>30</v>
      </c>
      <c r="O118" s="107" t="s">
        <v>30</v>
      </c>
      <c r="P118" s="107" t="s">
        <v>89</v>
      </c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5"/>
      <extLst>
        <ext uri="smNativeData">
          <pm:rowDef xmlns:pm="smNativeData" id="1749180287" r="118" hidden="0" collapsedDB="1" collapsedOL="0"/>
        </ext>
      </extLst>
    </row>
    <row r="119" spans="1:27" hidden="1">
      <c r="A119" s="62">
        <f>B119-DATE(2022,10,11)</f>
        <v>56</v>
      </c>
      <c r="B119" s="7" t="n">
        <v>44901</v>
      </c>
      <c r="C119" s="8" t="n">
        <v>6</v>
      </c>
      <c r="D119" s="8" t="s">
        <v>52</v>
      </c>
      <c r="E119" s="9" t="n">
        <v>18</v>
      </c>
      <c r="F119" s="8" t="n">
        <v>0</v>
      </c>
      <c r="G119" s="61">
        <f>SUM(H119:I119)</f>
        <v>8</v>
      </c>
      <c r="H119" s="8" t="n">
        <v>8</v>
      </c>
      <c r="I119" s="8"/>
      <c r="J119" s="8" t="n">
        <v>0</v>
      </c>
      <c r="K119" s="8" t="n">
        <v>0</v>
      </c>
      <c r="L119" s="54" t="s">
        <v>90</v>
      </c>
      <c r="M119" s="8" t="n">
        <v>3</v>
      </c>
      <c r="N119" s="8" t="s">
        <v>30</v>
      </c>
      <c r="O119" s="8" t="s">
        <v>30</v>
      </c>
      <c r="P119" s="8" t="s">
        <v>89</v>
      </c>
      <c r="AA119" s="17"/>
      <extLst>
        <ext uri="smNativeData">
          <pm:rowDef xmlns:pm="smNativeData" id="1749180287" r="119" hidden="0" collapsedDB="1" collapsedOL="0"/>
        </ext>
      </extLst>
    </row>
    <row r="120" spans="1:27" hidden="1">
      <c r="A120" s="110">
        <f>B120-DATE(2022,10,11)</f>
        <v>56</v>
      </c>
      <c r="B120" s="111" t="n">
        <v>44901</v>
      </c>
      <c r="C120" s="10" t="n">
        <v>6</v>
      </c>
      <c r="D120" s="10" t="s">
        <v>52</v>
      </c>
      <c r="E120" s="112" t="n">
        <v>18</v>
      </c>
      <c r="F120" s="10" t="n">
        <v>0</v>
      </c>
      <c r="G120" s="61">
        <f>SUM(H120:I120)</f>
        <v>8</v>
      </c>
      <c r="H120" s="10" t="n">
        <v>8</v>
      </c>
      <c r="I120" s="10"/>
      <c r="J120" s="10" t="n">
        <v>0</v>
      </c>
      <c r="K120" s="10" t="n">
        <v>0</v>
      </c>
      <c r="L120" s="113" t="s">
        <v>90</v>
      </c>
      <c r="M120" s="10" t="n">
        <v>3</v>
      </c>
      <c r="N120" s="10" t="s">
        <v>30</v>
      </c>
      <c r="O120" s="10" t="s">
        <v>30</v>
      </c>
      <c r="P120" s="10" t="s">
        <v>89</v>
      </c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4"/>
      <extLst>
        <ext uri="smNativeData">
          <pm:rowDef xmlns:pm="smNativeData" id="1749180287" r="120" hidden="0" collapsedDB="1" collapsedOL="0"/>
        </ext>
      </extLst>
    </row>
    <row r="121" spans="1:27" hidden="1">
      <c r="A121" s="16">
        <f>B121-DATE(2022,10,11)</f>
        <v>59</v>
      </c>
      <c r="B121" s="1" t="n">
        <v>44904</v>
      </c>
      <c r="C121" t="n">
        <v>6</v>
      </c>
      <c r="D121" t="s">
        <v>49</v>
      </c>
      <c r="E121" s="2" t="n">
        <v>19</v>
      </c>
      <c r="F121" t="n">
        <v>0</v>
      </c>
      <c r="G121" s="4">
        <f>SUM(H121:I121)</f>
        <v>6</v>
      </c>
      <c r="H121" t="n">
        <v>6</v>
      </c>
      <c r="J121" t="n">
        <v>0</v>
      </c>
      <c r="K121" t="n">
        <v>0</v>
      </c>
      <c r="M121" s="3" t="n">
        <v>1</v>
      </c>
      <c r="N121" t="s">
        <v>30</v>
      </c>
      <c r="O121" t="s">
        <v>30</v>
      </c>
      <c r="P121" t="s">
        <v>31</v>
      </c>
      <c r="Q121" t="s">
        <v>46</v>
      </c>
      <c r="R121" t="s">
        <v>34</v>
      </c>
      <c r="S121" t="s">
        <v>34</v>
      </c>
      <c r="T121" t="s">
        <v>57</v>
      </c>
      <c r="W121" t="s">
        <v>91</v>
      </c>
      <c r="X121" t="n">
        <v>0</v>
      </c>
      <c r="Y121" t="s">
        <v>92</v>
      </c>
      <c r="AA121" s="17"/>
      <extLst>
        <ext uri="smNativeData">
          <pm:rowDef xmlns:pm="smNativeData" id="1749180287" r="121" hidden="0" collapsedDB="1" collapsedOL="0"/>
        </ext>
      </extLst>
    </row>
    <row r="122" spans="1:27" hidden="1">
      <c r="A122" s="11">
        <f>B122-DATE(2022,10,11)</f>
        <v>59</v>
      </c>
      <c r="B122" s="12" t="n">
        <v>44904</v>
      </c>
      <c r="C122" s="13" t="n">
        <v>6</v>
      </c>
      <c r="D122" s="13" t="s">
        <v>52</v>
      </c>
      <c r="E122" s="14" t="n">
        <v>18</v>
      </c>
      <c r="F122" s="13" t="n">
        <v>0</v>
      </c>
      <c r="G122" s="58">
        <f>SUM(H122:I122)</f>
        <v>7</v>
      </c>
      <c r="H122" s="13" t="n">
        <v>7</v>
      </c>
      <c r="I122" s="13"/>
      <c r="J122" s="13" t="n">
        <v>0</v>
      </c>
      <c r="K122" s="13" t="n">
        <v>0</v>
      </c>
      <c r="L122" s="26"/>
      <c r="M122" s="49" t="n">
        <v>2</v>
      </c>
      <c r="N122" s="13" t="s">
        <v>30</v>
      </c>
      <c r="O122" s="13" t="s">
        <v>30</v>
      </c>
      <c r="P122" s="13" t="s">
        <v>31</v>
      </c>
      <c r="Q122" s="13" t="s">
        <v>46</v>
      </c>
      <c r="R122" s="13" t="s">
        <v>76</v>
      </c>
      <c r="S122" s="13" t="s">
        <v>34</v>
      </c>
      <c r="T122" s="13" t="s">
        <v>57</v>
      </c>
      <c r="U122" s="13" t="s">
        <v>34</v>
      </c>
      <c r="V122" s="13" t="s">
        <v>76</v>
      </c>
      <c r="W122" s="13" t="s">
        <v>93</v>
      </c>
      <c r="X122" s="13" t="n">
        <v>0</v>
      </c>
      <c r="Y122" s="13" t="s">
        <v>92</v>
      </c>
      <c r="Z122" s="13"/>
      <c r="AA122" s="15"/>
      <extLst>
        <ext uri="smNativeData">
          <pm:rowDef xmlns:pm="smNativeData" id="1749180287" r="122" hidden="0" collapsedDB="1" collapsedOL="0"/>
        </ext>
      </extLst>
    </row>
    <row r="123" spans="1:27" hidden="1">
      <c r="A123" s="31">
        <f>B123-DATE(2022,10,11)</f>
        <v>59</v>
      </c>
      <c r="B123" s="32" t="n">
        <v>44904</v>
      </c>
      <c r="C123" s="33" t="n">
        <v>6</v>
      </c>
      <c r="D123" s="33" t="s">
        <v>52</v>
      </c>
      <c r="E123" s="5" t="n">
        <v>18</v>
      </c>
      <c r="F123" s="33" t="n">
        <v>0</v>
      </c>
      <c r="G123" s="58">
        <f>SUM(H123:I123)</f>
        <v>7</v>
      </c>
      <c r="H123" s="33" t="n">
        <v>7</v>
      </c>
      <c r="I123" s="33"/>
      <c r="J123" s="33" t="n">
        <v>0</v>
      </c>
      <c r="K123" s="33" t="n">
        <v>0</v>
      </c>
      <c r="L123" s="53"/>
      <c r="M123" s="50" t="n">
        <v>2</v>
      </c>
      <c r="N123" s="33" t="s">
        <v>30</v>
      </c>
      <c r="O123" s="33" t="s">
        <v>30</v>
      </c>
      <c r="P123" s="33" t="s">
        <v>31</v>
      </c>
      <c r="Q123" s="33" t="s">
        <v>46</v>
      </c>
      <c r="R123" s="33" t="s">
        <v>76</v>
      </c>
      <c r="S123" s="33" t="s">
        <v>34</v>
      </c>
      <c r="T123" s="33" t="s">
        <v>57</v>
      </c>
      <c r="U123" s="33" t="s">
        <v>34</v>
      </c>
      <c r="V123" s="33" t="s">
        <v>76</v>
      </c>
      <c r="W123" s="33" t="s">
        <v>93</v>
      </c>
      <c r="X123" s="33" t="n">
        <v>0</v>
      </c>
      <c r="Y123" s="33" t="s">
        <v>92</v>
      </c>
      <c r="Z123" s="33"/>
      <c r="AA123" s="34"/>
      <extLst>
        <ext uri="smNativeData">
          <pm:rowDef xmlns:pm="smNativeData" id="1749180287" r="123" hidden="0" collapsedDB="1" collapsedOL="0"/>
        </ext>
      </extLst>
    </row>
    <row r="124" spans="1:28">
      <c r="A124" s="31">
        <f>B124-DATE(2022,10,11)</f>
        <v>63</v>
      </c>
      <c r="B124" s="32" t="n">
        <v>44908</v>
      </c>
      <c r="C124" s="33" t="n">
        <v>6</v>
      </c>
      <c r="D124" s="33" t="s">
        <v>52</v>
      </c>
      <c r="E124" s="5" t="n">
        <v>18</v>
      </c>
      <c r="F124" s="33" t="n">
        <v>0</v>
      </c>
      <c r="G124" s="6">
        <f>SUM(H124:I124)</f>
        <v>6</v>
      </c>
      <c r="H124" s="33" t="n">
        <v>6</v>
      </c>
      <c r="I124" s="33"/>
      <c r="J124" s="33" t="n">
        <v>0</v>
      </c>
      <c r="K124" s="33" t="n">
        <v>0</v>
      </c>
      <c r="L124" s="53"/>
      <c r="M124" s="50" t="n">
        <v>1</v>
      </c>
      <c r="N124" s="33" t="s">
        <v>30</v>
      </c>
      <c r="O124" s="33" t="s">
        <v>30</v>
      </c>
      <c r="P124" s="33" t="s">
        <v>31</v>
      </c>
      <c r="Q124" s="33" t="s">
        <v>46</v>
      </c>
      <c r="R124" s="33" t="s">
        <v>34</v>
      </c>
      <c r="S124" s="33" t="s">
        <v>34</v>
      </c>
      <c r="T124" s="33" t="s">
        <v>57</v>
      </c>
      <c r="U124" s="33" t="s">
        <v>58</v>
      </c>
      <c r="V124" s="33" t="s">
        <v>40</v>
      </c>
      <c r="W124" s="33" t="s">
        <v>40</v>
      </c>
      <c r="X124" s="33" t="n">
        <v>67</v>
      </c>
      <c r="Y124" s="33" t="s">
        <v>94</v>
      </c>
      <c r="Z124" s="33"/>
      <c r="AA124" s="34" t="s">
        <v>67</v>
      </c>
      <c r="AB124" t="s">
        <v>38</v>
      </c>
    </row>
    <row r="125" spans="1:28">
      <c r="A125" s="31">
        <f>B125-DATE(2022,10,11)</f>
        <v>66</v>
      </c>
      <c r="B125" s="32" t="n">
        <v>44911</v>
      </c>
      <c r="C125" s="33" t="n">
        <v>6</v>
      </c>
      <c r="D125" s="33" t="s">
        <v>28</v>
      </c>
      <c r="E125" s="5" t="n">
        <v>19</v>
      </c>
      <c r="F125" s="33" t="n">
        <v>0</v>
      </c>
      <c r="G125" s="6">
        <f>SUM(H125:I125)</f>
        <v>9</v>
      </c>
      <c r="H125" s="33" t="n">
        <v>9</v>
      </c>
      <c r="I125" s="33"/>
      <c r="J125" s="33" t="n">
        <v>0</v>
      </c>
      <c r="K125" s="33" t="n">
        <v>0</v>
      </c>
      <c r="L125" s="114" t="s">
        <v>95</v>
      </c>
      <c r="M125" s="50" t="n">
        <v>1</v>
      </c>
      <c r="N125" s="33" t="s">
        <v>30</v>
      </c>
      <c r="O125" s="33" t="s">
        <v>30</v>
      </c>
      <c r="P125" s="33" t="s">
        <v>31</v>
      </c>
      <c r="Q125" s="33" t="s">
        <v>46</v>
      </c>
      <c r="R125" s="33" t="s">
        <v>34</v>
      </c>
      <c r="S125" s="33" t="s">
        <v>34</v>
      </c>
      <c r="T125" s="33" t="s">
        <v>57</v>
      </c>
      <c r="U125" s="33" t="s">
        <v>46</v>
      </c>
      <c r="V125" s="33" t="s">
        <v>34</v>
      </c>
      <c r="W125" s="33" t="s">
        <v>96</v>
      </c>
      <c r="X125" s="33" t="n">
        <v>730</v>
      </c>
      <c r="Y125" s="33" t="s">
        <v>57</v>
      </c>
      <c r="Z125" s="33"/>
      <c r="AA125" s="34" t="s">
        <v>97</v>
      </c>
      <c r="AB125" t="s">
        <v>31</v>
      </c>
    </row>
    <row r="126" spans="1:27" hidden="1">
      <c r="A126" s="31">
        <f>B126-DATE(2022,10,11)</f>
        <v>66</v>
      </c>
      <c r="B126" s="32" t="n">
        <v>44911</v>
      </c>
      <c r="C126" s="33" t="n">
        <v>6</v>
      </c>
      <c r="D126" s="33" t="s">
        <v>49</v>
      </c>
      <c r="E126" s="5" t="n">
        <v>19</v>
      </c>
      <c r="F126" s="33" t="n">
        <v>0</v>
      </c>
      <c r="G126" s="6">
        <f>SUM(H126:I126)</f>
        <v>7</v>
      </c>
      <c r="H126" s="33" t="n">
        <v>7</v>
      </c>
      <c r="I126" s="33"/>
      <c r="J126" s="33" t="n">
        <v>0</v>
      </c>
      <c r="K126" s="33" t="n">
        <v>0</v>
      </c>
      <c r="L126" s="53"/>
      <c r="M126" s="50" t="n">
        <v>1</v>
      </c>
      <c r="N126" s="33" t="s">
        <v>30</v>
      </c>
      <c r="O126" s="33" t="s">
        <v>30</v>
      </c>
      <c r="P126" s="33" t="s">
        <v>31</v>
      </c>
      <c r="Q126" s="33" t="s">
        <v>46</v>
      </c>
      <c r="R126" s="33" t="s">
        <v>76</v>
      </c>
      <c r="S126" s="33" t="s">
        <v>34</v>
      </c>
      <c r="T126" s="33" t="s">
        <v>57</v>
      </c>
      <c r="U126" s="33" t="s">
        <v>46</v>
      </c>
      <c r="V126" s="33" t="s">
        <v>34</v>
      </c>
      <c r="W126" s="33" t="s">
        <v>98</v>
      </c>
      <c r="X126" s="33" t="n">
        <v>36</v>
      </c>
      <c r="Y126" s="33" t="s">
        <v>57</v>
      </c>
      <c r="Z126" s="33"/>
      <c r="AA126" s="34"/>
      <extLst>
        <ext uri="smNativeData">
          <pm:rowDef xmlns:pm="smNativeData" id="1749180287" r="126" hidden="0" collapsedDB="1" collapsedOL="0"/>
        </ext>
      </extLst>
    </row>
    <row r="127" spans="1:28">
      <c r="A127" s="16">
        <f>B127-DATE(2022,10,11)</f>
        <v>66</v>
      </c>
      <c r="B127" s="1" t="n">
        <v>44911</v>
      </c>
      <c r="C127" t="n">
        <v>6</v>
      </c>
      <c r="D127" t="s">
        <v>63</v>
      </c>
      <c r="E127" s="2" t="n">
        <v>15</v>
      </c>
      <c r="F127" t="n">
        <v>0</v>
      </c>
      <c r="G127" s="6">
        <f>SUM(H127:I127)</f>
        <v>8</v>
      </c>
      <c r="H127" t="n">
        <v>8</v>
      </c>
      <c r="J127" t="n">
        <v>0</v>
      </c>
      <c r="K127" t="n">
        <v>0</v>
      </c>
      <c r="M127" s="3" t="n">
        <v>38</v>
      </c>
      <c r="N127" t="s">
        <v>30</v>
      </c>
      <c r="O127" t="s">
        <v>30</v>
      </c>
      <c r="P127" t="s">
        <v>31</v>
      </c>
      <c r="Q127" t="s">
        <v>46</v>
      </c>
      <c r="R127" t="s">
        <v>99</v>
      </c>
      <c r="S127" t="s">
        <v>34</v>
      </c>
      <c r="T127" t="s">
        <v>100</v>
      </c>
      <c r="V127" t="s">
        <v>99</v>
      </c>
      <c r="W127" t="s">
        <v>101</v>
      </c>
      <c r="X127" t="n">
        <v>0</v>
      </c>
      <c r="AA127" s="17" t="s">
        <v>102</v>
      </c>
      <c r="AB127" t="s">
        <v>31</v>
      </c>
    </row>
    <row r="128" spans="1:28">
      <c r="A128" s="16">
        <f>B128-DATE(2022,10,11)</f>
        <v>66</v>
      </c>
      <c r="B128" s="1" t="n">
        <v>44911</v>
      </c>
      <c r="C128" t="n">
        <v>6</v>
      </c>
      <c r="D128" t="s">
        <v>63</v>
      </c>
      <c r="E128" s="2" t="n">
        <v>15</v>
      </c>
      <c r="F128" t="n">
        <v>0</v>
      </c>
      <c r="G128" s="58">
        <f>SUM(H128:I128)</f>
        <v>8</v>
      </c>
      <c r="H128" t="n">
        <v>8</v>
      </c>
      <c r="J128" t="n">
        <v>0</v>
      </c>
      <c r="K128" t="n">
        <v>0</v>
      </c>
      <c r="M128" s="3" t="n">
        <v>38</v>
      </c>
      <c r="N128" t="s">
        <v>30</v>
      </c>
      <c r="O128" t="s">
        <v>30</v>
      </c>
      <c r="P128" t="s">
        <v>31</v>
      </c>
      <c r="Q128" t="s">
        <v>46</v>
      </c>
      <c r="R128" t="s">
        <v>99</v>
      </c>
      <c r="S128" t="s">
        <v>34</v>
      </c>
      <c r="T128" t="s">
        <v>100</v>
      </c>
      <c r="V128" t="s">
        <v>99</v>
      </c>
      <c r="W128" t="s">
        <v>101</v>
      </c>
      <c r="X128" t="n">
        <v>0</v>
      </c>
      <c r="AA128" s="17" t="s">
        <v>97</v>
      </c>
      <c r="AB128" t="s">
        <v>31</v>
      </c>
    </row>
    <row r="129" spans="1:28">
      <c r="A129" s="16">
        <f>B129-DATE(2022,10,11)</f>
        <v>66</v>
      </c>
      <c r="B129" s="1" t="n">
        <v>44911</v>
      </c>
      <c r="C129" t="n">
        <v>6</v>
      </c>
      <c r="D129" t="s">
        <v>63</v>
      </c>
      <c r="E129" s="2" t="n">
        <v>15</v>
      </c>
      <c r="F129" t="n">
        <v>0</v>
      </c>
      <c r="G129" s="58">
        <f>SUM(H129:I129)</f>
        <v>8</v>
      </c>
      <c r="H129" t="n">
        <v>8</v>
      </c>
      <c r="J129" t="n">
        <v>0</v>
      </c>
      <c r="K129" t="n">
        <v>0</v>
      </c>
      <c r="M129" s="3" t="n">
        <v>38</v>
      </c>
      <c r="N129" t="s">
        <v>30</v>
      </c>
      <c r="O129" t="s">
        <v>30</v>
      </c>
      <c r="P129" t="s">
        <v>31</v>
      </c>
      <c r="Q129" t="s">
        <v>46</v>
      </c>
      <c r="R129" t="s">
        <v>99</v>
      </c>
      <c r="S129" t="s">
        <v>34</v>
      </c>
      <c r="T129" t="s">
        <v>100</v>
      </c>
      <c r="V129" t="s">
        <v>99</v>
      </c>
      <c r="W129" t="s">
        <v>101</v>
      </c>
      <c r="X129" t="n">
        <v>0</v>
      </c>
      <c r="AA129" s="17" t="s">
        <v>97</v>
      </c>
      <c r="AB129" t="s">
        <v>31</v>
      </c>
    </row>
    <row r="130" spans="1:27" hidden="1">
      <c r="A130" s="16">
        <f>B130-DATE(2022,10,11)</f>
        <v>66</v>
      </c>
      <c r="B130" s="1" t="n">
        <v>44911</v>
      </c>
      <c r="C130" t="n">
        <v>6</v>
      </c>
      <c r="D130" t="s">
        <v>63</v>
      </c>
      <c r="E130" s="2" t="n">
        <v>15</v>
      </c>
      <c r="F130" t="n">
        <v>0</v>
      </c>
      <c r="G130" s="58">
        <f>SUM(H130:I130)</f>
        <v>8</v>
      </c>
      <c r="H130" t="n">
        <v>8</v>
      </c>
      <c r="J130" t="n">
        <v>0</v>
      </c>
      <c r="K130" t="n">
        <v>0</v>
      </c>
      <c r="M130" s="3" t="n">
        <v>38</v>
      </c>
      <c r="N130" t="s">
        <v>30</v>
      </c>
      <c r="O130" t="s">
        <v>30</v>
      </c>
      <c r="AA130" s="17"/>
      <extLst>
        <ext uri="smNativeData">
          <pm:rowDef xmlns:pm="smNativeData" id="1749180287" r="130" hidden="0" collapsedDB="1" collapsedOL="0"/>
        </ext>
      </extLst>
    </row>
    <row r="131" spans="1:27" hidden="1">
      <c r="A131" s="16">
        <f>B131-DATE(2022,10,11)</f>
        <v>66</v>
      </c>
      <c r="B131" s="1" t="n">
        <v>44911</v>
      </c>
      <c r="C131" t="n">
        <v>6</v>
      </c>
      <c r="D131" t="s">
        <v>63</v>
      </c>
      <c r="E131" s="2" t="n">
        <v>15</v>
      </c>
      <c r="F131" t="n">
        <v>0</v>
      </c>
      <c r="G131" s="58">
        <f>SUM(H131:I131)</f>
        <v>8</v>
      </c>
      <c r="H131" t="n">
        <v>8</v>
      </c>
      <c r="J131" t="n">
        <v>0</v>
      </c>
      <c r="K131" t="n">
        <v>0</v>
      </c>
      <c r="M131" s="3" t="n">
        <v>38</v>
      </c>
      <c r="N131" t="s">
        <v>30</v>
      </c>
      <c r="O131" t="s">
        <v>30</v>
      </c>
      <c r="AA131" s="17"/>
      <extLst>
        <ext uri="smNativeData">
          <pm:rowDef xmlns:pm="smNativeData" id="1749180287" r="131" hidden="0" collapsedDB="1" collapsedOL="0"/>
        </ext>
      </extLst>
    </row>
    <row r="132" spans="1:27" hidden="1">
      <c r="A132" s="16">
        <f>B132-DATE(2022,10,11)</f>
        <v>66</v>
      </c>
      <c r="B132" s="1" t="n">
        <v>44911</v>
      </c>
      <c r="C132" t="n">
        <v>6</v>
      </c>
      <c r="D132" t="s">
        <v>63</v>
      </c>
      <c r="E132" s="2" t="n">
        <v>15</v>
      </c>
      <c r="F132" t="n">
        <v>0</v>
      </c>
      <c r="G132" s="58">
        <f>SUM(H132:I132)</f>
        <v>8</v>
      </c>
      <c r="H132" t="n">
        <v>8</v>
      </c>
      <c r="J132" t="n">
        <v>0</v>
      </c>
      <c r="K132" t="n">
        <v>0</v>
      </c>
      <c r="M132" s="3" t="n">
        <v>38</v>
      </c>
      <c r="N132" t="s">
        <v>30</v>
      </c>
      <c r="O132" t="s">
        <v>30</v>
      </c>
      <c r="AA132" s="17"/>
      <extLst>
        <ext uri="smNativeData">
          <pm:rowDef xmlns:pm="smNativeData" id="1749180287" r="132" hidden="0" collapsedDB="1" collapsedOL="0"/>
        </ext>
      </extLst>
    </row>
    <row r="133" spans="1:27" hidden="1">
      <c r="A133" s="16">
        <f>B133-DATE(2022,10,11)</f>
        <v>66</v>
      </c>
      <c r="B133" s="1" t="n">
        <v>44911</v>
      </c>
      <c r="C133" t="n">
        <v>6</v>
      </c>
      <c r="D133" t="s">
        <v>63</v>
      </c>
      <c r="E133" s="2" t="n">
        <v>15</v>
      </c>
      <c r="F133" t="n">
        <v>0</v>
      </c>
      <c r="G133" s="58">
        <f>SUM(H133:I133)</f>
        <v>8</v>
      </c>
      <c r="H133" t="n">
        <v>8</v>
      </c>
      <c r="J133" t="n">
        <v>0</v>
      </c>
      <c r="K133" t="n">
        <v>0</v>
      </c>
      <c r="M133" s="3" t="n">
        <v>38</v>
      </c>
      <c r="N133" t="s">
        <v>30</v>
      </c>
      <c r="O133" t="s">
        <v>30</v>
      </c>
      <c r="AA133" s="17"/>
      <extLst>
        <ext uri="smNativeData">
          <pm:rowDef xmlns:pm="smNativeData" id="1749180287" r="133" hidden="0" collapsedDB="1" collapsedOL="0"/>
        </ext>
      </extLst>
    </row>
    <row r="134" spans="1:27" hidden="1">
      <c r="A134" s="16">
        <f>B134-DATE(2022,10,11)</f>
        <v>66</v>
      </c>
      <c r="B134" s="1" t="n">
        <v>44911</v>
      </c>
      <c r="C134" t="n">
        <v>6</v>
      </c>
      <c r="D134" t="s">
        <v>63</v>
      </c>
      <c r="E134" s="2" t="n">
        <v>15</v>
      </c>
      <c r="F134" t="n">
        <v>0</v>
      </c>
      <c r="G134" s="58">
        <f>SUM(H134:I134)</f>
        <v>8</v>
      </c>
      <c r="H134" t="n">
        <v>8</v>
      </c>
      <c r="J134" t="n">
        <v>0</v>
      </c>
      <c r="K134" t="n">
        <v>0</v>
      </c>
      <c r="M134" s="3" t="n">
        <v>38</v>
      </c>
      <c r="N134" t="s">
        <v>30</v>
      </c>
      <c r="O134" t="s">
        <v>30</v>
      </c>
      <c r="AA134" s="17"/>
      <extLst>
        <ext uri="smNativeData">
          <pm:rowDef xmlns:pm="smNativeData" id="1749180287" r="134" hidden="0" collapsedDB="1" collapsedOL="0"/>
        </ext>
      </extLst>
    </row>
    <row r="135" spans="1:27" hidden="1">
      <c r="A135" s="16">
        <f>B135-DATE(2022,10,11)</f>
        <v>66</v>
      </c>
      <c r="B135" s="1" t="n">
        <v>44911</v>
      </c>
      <c r="C135" t="n">
        <v>6</v>
      </c>
      <c r="D135" t="s">
        <v>63</v>
      </c>
      <c r="E135" s="2" t="n">
        <v>15</v>
      </c>
      <c r="F135" t="n">
        <v>0</v>
      </c>
      <c r="G135" s="58">
        <f>SUM(H135:I135)</f>
        <v>8</v>
      </c>
      <c r="H135" t="n">
        <v>8</v>
      </c>
      <c r="J135" t="n">
        <v>0</v>
      </c>
      <c r="K135" t="n">
        <v>0</v>
      </c>
      <c r="M135" s="3" t="n">
        <v>38</v>
      </c>
      <c r="N135" t="s">
        <v>30</v>
      </c>
      <c r="O135" t="s">
        <v>30</v>
      </c>
      <c r="AA135" s="17"/>
      <extLst>
        <ext uri="smNativeData">
          <pm:rowDef xmlns:pm="smNativeData" id="1749180287" r="135" hidden="0" collapsedDB="1" collapsedOL="0"/>
        </ext>
      </extLst>
    </row>
    <row r="136" spans="1:27" hidden="1">
      <c r="A136" s="16">
        <f>B136-DATE(2022,10,11)</f>
        <v>66</v>
      </c>
      <c r="B136" s="1" t="n">
        <v>44911</v>
      </c>
      <c r="C136" t="n">
        <v>6</v>
      </c>
      <c r="D136" t="s">
        <v>63</v>
      </c>
      <c r="E136" s="2" t="n">
        <v>15</v>
      </c>
      <c r="F136" t="n">
        <v>0</v>
      </c>
      <c r="G136" s="58">
        <f>SUM(H136:I136)</f>
        <v>8</v>
      </c>
      <c r="H136" t="n">
        <v>8</v>
      </c>
      <c r="J136" t="n">
        <v>0</v>
      </c>
      <c r="K136" t="n">
        <v>0</v>
      </c>
      <c r="M136" s="3" t="n">
        <v>38</v>
      </c>
      <c r="N136" t="s">
        <v>30</v>
      </c>
      <c r="O136" t="s">
        <v>30</v>
      </c>
      <c r="AA136" s="17"/>
      <extLst>
        <ext uri="smNativeData">
          <pm:rowDef xmlns:pm="smNativeData" id="1749180287" r="136" hidden="0" collapsedDB="1" collapsedOL="0"/>
        </ext>
      </extLst>
    </row>
    <row r="137" spans="1:27" hidden="1">
      <c r="A137" s="16">
        <f>B137-DATE(2022,10,11)</f>
        <v>66</v>
      </c>
      <c r="B137" s="1" t="n">
        <v>44911</v>
      </c>
      <c r="C137" t="n">
        <v>6</v>
      </c>
      <c r="D137" t="s">
        <v>63</v>
      </c>
      <c r="E137" s="2" t="n">
        <v>15</v>
      </c>
      <c r="F137" t="n">
        <v>0</v>
      </c>
      <c r="G137" s="58">
        <f>SUM(H137:I137)</f>
        <v>8</v>
      </c>
      <c r="H137" t="n">
        <v>8</v>
      </c>
      <c r="J137" t="n">
        <v>0</v>
      </c>
      <c r="K137" t="n">
        <v>0</v>
      </c>
      <c r="M137" s="3" t="n">
        <v>38</v>
      </c>
      <c r="N137" t="s">
        <v>30</v>
      </c>
      <c r="O137" t="s">
        <v>30</v>
      </c>
      <c r="AA137" s="17"/>
      <extLst>
        <ext uri="smNativeData">
          <pm:rowDef xmlns:pm="smNativeData" id="1749180287" r="137" hidden="0" collapsedDB="1" collapsedOL="0"/>
        </ext>
      </extLst>
    </row>
    <row r="138" spans="1:27" hidden="1">
      <c r="A138" s="16">
        <f>B138-DATE(2022,10,11)</f>
        <v>66</v>
      </c>
      <c r="B138" s="1" t="n">
        <v>44911</v>
      </c>
      <c r="C138" t="n">
        <v>6</v>
      </c>
      <c r="D138" t="s">
        <v>63</v>
      </c>
      <c r="E138" s="2" t="n">
        <v>15</v>
      </c>
      <c r="F138" t="n">
        <v>0</v>
      </c>
      <c r="G138" s="58">
        <f>SUM(H138:I138)</f>
        <v>8</v>
      </c>
      <c r="H138" t="n">
        <v>8</v>
      </c>
      <c r="J138" t="n">
        <v>0</v>
      </c>
      <c r="K138" t="n">
        <v>0</v>
      </c>
      <c r="M138" s="3" t="n">
        <v>38</v>
      </c>
      <c r="N138" t="s">
        <v>30</v>
      </c>
      <c r="O138" t="s">
        <v>30</v>
      </c>
      <c r="AA138" s="17"/>
      <extLst>
        <ext uri="smNativeData">
          <pm:rowDef xmlns:pm="smNativeData" id="1749180287" r="138" hidden="0" collapsedDB="1" collapsedOL="0"/>
        </ext>
      </extLst>
    </row>
    <row r="139" spans="1:27" hidden="1">
      <c r="A139" s="16">
        <f>B139-DATE(2022,10,11)</f>
        <v>66</v>
      </c>
      <c r="B139" s="1" t="n">
        <v>44911</v>
      </c>
      <c r="C139" t="n">
        <v>6</v>
      </c>
      <c r="D139" t="s">
        <v>63</v>
      </c>
      <c r="E139" s="2" t="n">
        <v>15</v>
      </c>
      <c r="F139" t="n">
        <v>0</v>
      </c>
      <c r="G139" s="58">
        <f>SUM(H139:I139)</f>
        <v>8</v>
      </c>
      <c r="H139" t="n">
        <v>8</v>
      </c>
      <c r="J139" t="n">
        <v>0</v>
      </c>
      <c r="K139" t="n">
        <v>0</v>
      </c>
      <c r="M139" s="3" t="n">
        <v>38</v>
      </c>
      <c r="N139" t="s">
        <v>30</v>
      </c>
      <c r="O139" t="s">
        <v>30</v>
      </c>
      <c r="AA139" s="17"/>
      <extLst>
        <ext uri="smNativeData">
          <pm:rowDef xmlns:pm="smNativeData" id="1749180287" r="139" hidden="0" collapsedDB="1" collapsedOL="0"/>
        </ext>
      </extLst>
    </row>
    <row r="140" spans="1:27" hidden="1">
      <c r="A140" s="16">
        <f>B140-DATE(2022,10,11)</f>
        <v>66</v>
      </c>
      <c r="B140" s="1" t="n">
        <v>44911</v>
      </c>
      <c r="C140" t="n">
        <v>6</v>
      </c>
      <c r="D140" t="s">
        <v>63</v>
      </c>
      <c r="E140" s="2" t="n">
        <v>15</v>
      </c>
      <c r="F140" t="n">
        <v>0</v>
      </c>
      <c r="G140" s="58">
        <f>SUM(H140:I140)</f>
        <v>8</v>
      </c>
      <c r="H140" t="n">
        <v>8</v>
      </c>
      <c r="J140" t="n">
        <v>0</v>
      </c>
      <c r="K140" t="n">
        <v>0</v>
      </c>
      <c r="M140" s="3" t="n">
        <v>38</v>
      </c>
      <c r="N140" t="s">
        <v>30</v>
      </c>
      <c r="O140" t="s">
        <v>30</v>
      </c>
      <c r="AA140" s="17"/>
      <extLst>
        <ext uri="smNativeData">
          <pm:rowDef xmlns:pm="smNativeData" id="1749180287" r="140" hidden="0" collapsedDB="1" collapsedOL="0"/>
        </ext>
      </extLst>
    </row>
    <row r="141" spans="1:27" hidden="1">
      <c r="A141" s="16">
        <f>B141-DATE(2022,10,11)</f>
        <v>66</v>
      </c>
      <c r="B141" s="1" t="n">
        <v>44911</v>
      </c>
      <c r="C141" t="n">
        <v>6</v>
      </c>
      <c r="D141" t="s">
        <v>63</v>
      </c>
      <c r="E141" s="2" t="n">
        <v>15</v>
      </c>
      <c r="F141" t="n">
        <v>0</v>
      </c>
      <c r="G141" s="58">
        <f>SUM(H141:I141)</f>
        <v>8</v>
      </c>
      <c r="H141" t="n">
        <v>8</v>
      </c>
      <c r="J141" t="n">
        <v>0</v>
      </c>
      <c r="K141" t="n">
        <v>0</v>
      </c>
      <c r="M141" s="3" t="n">
        <v>38</v>
      </c>
      <c r="N141" t="s">
        <v>30</v>
      </c>
      <c r="O141" t="s">
        <v>30</v>
      </c>
      <c r="AA141" s="17"/>
      <extLst>
        <ext uri="smNativeData">
          <pm:rowDef xmlns:pm="smNativeData" id="1749180287" r="141" hidden="0" collapsedDB="1" collapsedOL="0"/>
        </ext>
      </extLst>
    </row>
    <row r="142" spans="1:27" hidden="1">
      <c r="A142" s="16">
        <f>B142-DATE(2022,10,11)</f>
        <v>66</v>
      </c>
      <c r="B142" s="1" t="n">
        <v>44911</v>
      </c>
      <c r="C142" t="n">
        <v>6</v>
      </c>
      <c r="D142" t="s">
        <v>63</v>
      </c>
      <c r="E142" s="2" t="n">
        <v>15</v>
      </c>
      <c r="F142" t="n">
        <v>0</v>
      </c>
      <c r="G142" s="58">
        <f>SUM(H142:I142)</f>
        <v>8</v>
      </c>
      <c r="H142" t="n">
        <v>8</v>
      </c>
      <c r="J142" t="n">
        <v>0</v>
      </c>
      <c r="K142" t="n">
        <v>0</v>
      </c>
      <c r="M142" s="3" t="n">
        <v>38</v>
      </c>
      <c r="N142" t="s">
        <v>30</v>
      </c>
      <c r="O142" t="s">
        <v>30</v>
      </c>
      <c r="AA142" s="17"/>
      <extLst>
        <ext uri="smNativeData">
          <pm:rowDef xmlns:pm="smNativeData" id="1749180287" r="142" hidden="0" collapsedDB="1" collapsedOL="0"/>
        </ext>
      </extLst>
    </row>
    <row r="143" spans="1:27" hidden="1">
      <c r="A143" s="16">
        <f>B143-DATE(2022,10,11)</f>
        <v>66</v>
      </c>
      <c r="B143" s="1" t="n">
        <v>44911</v>
      </c>
      <c r="C143" t="n">
        <v>6</v>
      </c>
      <c r="D143" t="s">
        <v>63</v>
      </c>
      <c r="E143" s="2" t="n">
        <v>15</v>
      </c>
      <c r="F143" t="n">
        <v>0</v>
      </c>
      <c r="G143" s="58">
        <f>SUM(H143:I143)</f>
        <v>8</v>
      </c>
      <c r="H143" t="n">
        <v>8</v>
      </c>
      <c r="J143" t="n">
        <v>0</v>
      </c>
      <c r="K143" t="n">
        <v>0</v>
      </c>
      <c r="M143" s="3" t="n">
        <v>38</v>
      </c>
      <c r="N143" t="s">
        <v>30</v>
      </c>
      <c r="O143" t="s">
        <v>30</v>
      </c>
      <c r="AA143" s="17"/>
      <extLst>
        <ext uri="smNativeData">
          <pm:rowDef xmlns:pm="smNativeData" id="1749180287" r="143" hidden="0" collapsedDB="1" collapsedOL="0"/>
        </ext>
      </extLst>
    </row>
    <row r="144" spans="1:27" hidden="1">
      <c r="A144" s="16">
        <f>B144-DATE(2022,10,11)</f>
        <v>66</v>
      </c>
      <c r="B144" s="1" t="n">
        <v>44911</v>
      </c>
      <c r="C144" t="n">
        <v>6</v>
      </c>
      <c r="D144" t="s">
        <v>63</v>
      </c>
      <c r="E144" s="2" t="n">
        <v>15</v>
      </c>
      <c r="F144" t="n">
        <v>0</v>
      </c>
      <c r="G144" s="58">
        <f>SUM(H144:I144)</f>
        <v>8</v>
      </c>
      <c r="H144" t="n">
        <v>8</v>
      </c>
      <c r="J144" t="n">
        <v>0</v>
      </c>
      <c r="K144" t="n">
        <v>0</v>
      </c>
      <c r="M144" s="3" t="n">
        <v>38</v>
      </c>
      <c r="N144" t="s">
        <v>30</v>
      </c>
      <c r="O144" t="s">
        <v>30</v>
      </c>
      <c r="AA144" s="17"/>
      <extLst>
        <ext uri="smNativeData">
          <pm:rowDef xmlns:pm="smNativeData" id="1749180287" r="144" hidden="0" collapsedDB="1" collapsedOL="0"/>
        </ext>
      </extLst>
    </row>
    <row r="145" spans="1:27" hidden="1">
      <c r="A145" s="16">
        <f>B145-DATE(2022,10,11)</f>
        <v>66</v>
      </c>
      <c r="B145" s="1" t="n">
        <v>44911</v>
      </c>
      <c r="C145" t="n">
        <v>6</v>
      </c>
      <c r="D145" t="s">
        <v>63</v>
      </c>
      <c r="E145" s="2" t="n">
        <v>15</v>
      </c>
      <c r="F145" t="n">
        <v>0</v>
      </c>
      <c r="G145" s="58">
        <f>SUM(H145:I145)</f>
        <v>8</v>
      </c>
      <c r="H145" t="n">
        <v>8</v>
      </c>
      <c r="J145" t="n">
        <v>0</v>
      </c>
      <c r="K145" t="n">
        <v>0</v>
      </c>
      <c r="M145" s="3" t="n">
        <v>38</v>
      </c>
      <c r="N145" t="s">
        <v>30</v>
      </c>
      <c r="O145" t="s">
        <v>30</v>
      </c>
      <c r="AA145" s="17"/>
      <extLst>
        <ext uri="smNativeData">
          <pm:rowDef xmlns:pm="smNativeData" id="1749180287" r="145" hidden="0" collapsedDB="1" collapsedOL="0"/>
        </ext>
      </extLst>
    </row>
    <row r="146" spans="1:27" hidden="1">
      <c r="A146" s="16">
        <f>B146-DATE(2022,10,11)</f>
        <v>66</v>
      </c>
      <c r="B146" s="1" t="n">
        <v>44911</v>
      </c>
      <c r="C146" t="n">
        <v>6</v>
      </c>
      <c r="D146" t="s">
        <v>63</v>
      </c>
      <c r="E146" s="2" t="n">
        <v>15</v>
      </c>
      <c r="F146" t="n">
        <v>0</v>
      </c>
      <c r="G146" s="58">
        <f>SUM(H146:I146)</f>
        <v>8</v>
      </c>
      <c r="H146" t="n">
        <v>8</v>
      </c>
      <c r="J146" t="n">
        <v>0</v>
      </c>
      <c r="K146" t="n">
        <v>0</v>
      </c>
      <c r="M146" s="3" t="n">
        <v>38</v>
      </c>
      <c r="N146" t="s">
        <v>30</v>
      </c>
      <c r="O146" t="s">
        <v>30</v>
      </c>
      <c r="AA146" s="17"/>
      <extLst>
        <ext uri="smNativeData">
          <pm:rowDef xmlns:pm="smNativeData" id="1749180287" r="146" hidden="0" collapsedDB="1" collapsedOL="0"/>
        </ext>
      </extLst>
    </row>
    <row r="147" spans="1:27" hidden="1">
      <c r="A147" s="16">
        <f>B147-DATE(2022,10,11)</f>
        <v>66</v>
      </c>
      <c r="B147" s="1" t="n">
        <v>44911</v>
      </c>
      <c r="C147" t="n">
        <v>6</v>
      </c>
      <c r="D147" t="s">
        <v>63</v>
      </c>
      <c r="E147" s="2" t="n">
        <v>15</v>
      </c>
      <c r="F147" t="n">
        <v>0</v>
      </c>
      <c r="G147" s="58">
        <f>SUM(H147:I147)</f>
        <v>8</v>
      </c>
      <c r="H147" t="n">
        <v>8</v>
      </c>
      <c r="J147" t="n">
        <v>0</v>
      </c>
      <c r="K147" t="n">
        <v>0</v>
      </c>
      <c r="M147" s="3" t="n">
        <v>38</v>
      </c>
      <c r="N147" t="s">
        <v>30</v>
      </c>
      <c r="O147" t="s">
        <v>30</v>
      </c>
      <c r="AA147" s="17"/>
      <extLst>
        <ext uri="smNativeData">
          <pm:rowDef xmlns:pm="smNativeData" id="1749180287" r="147" hidden="0" collapsedDB="1" collapsedOL="0"/>
        </ext>
      </extLst>
    </row>
    <row r="148" spans="1:27" hidden="1">
      <c r="A148" s="16">
        <f>B148-DATE(2022,10,11)</f>
        <v>66</v>
      </c>
      <c r="B148" s="1" t="n">
        <v>44911</v>
      </c>
      <c r="C148" t="n">
        <v>6</v>
      </c>
      <c r="D148" t="s">
        <v>63</v>
      </c>
      <c r="E148" s="2" t="n">
        <v>15</v>
      </c>
      <c r="F148" t="n">
        <v>0</v>
      </c>
      <c r="G148" s="58">
        <f>SUM(H148:I148)</f>
        <v>8</v>
      </c>
      <c r="H148" t="n">
        <v>8</v>
      </c>
      <c r="J148" t="n">
        <v>0</v>
      </c>
      <c r="K148" t="n">
        <v>0</v>
      </c>
      <c r="M148" s="3" t="n">
        <v>38</v>
      </c>
      <c r="N148" t="s">
        <v>30</v>
      </c>
      <c r="O148" t="s">
        <v>30</v>
      </c>
      <c r="AA148" s="17"/>
      <extLst>
        <ext uri="smNativeData">
          <pm:rowDef xmlns:pm="smNativeData" id="1749180287" r="148" hidden="0" collapsedDB="1" collapsedOL="0"/>
        </ext>
      </extLst>
    </row>
    <row r="149" spans="1:27" hidden="1">
      <c r="A149" s="16">
        <f>B149-DATE(2022,10,11)</f>
        <v>66</v>
      </c>
      <c r="B149" s="1" t="n">
        <v>44911</v>
      </c>
      <c r="C149" t="n">
        <v>6</v>
      </c>
      <c r="D149" t="s">
        <v>63</v>
      </c>
      <c r="E149" s="2" t="n">
        <v>15</v>
      </c>
      <c r="F149" t="n">
        <v>0</v>
      </c>
      <c r="G149" s="58">
        <f>SUM(H149:I149)</f>
        <v>8</v>
      </c>
      <c r="H149" t="n">
        <v>8</v>
      </c>
      <c r="J149" t="n">
        <v>0</v>
      </c>
      <c r="K149" t="n">
        <v>0</v>
      </c>
      <c r="M149" s="3" t="n">
        <v>38</v>
      </c>
      <c r="N149" t="s">
        <v>30</v>
      </c>
      <c r="O149" t="s">
        <v>30</v>
      </c>
      <c r="AA149" s="17"/>
      <extLst>
        <ext uri="smNativeData">
          <pm:rowDef xmlns:pm="smNativeData" id="1749180287" r="149" hidden="0" collapsedDB="1" collapsedOL="0"/>
        </ext>
      </extLst>
    </row>
    <row r="150" spans="1:27" hidden="1">
      <c r="A150" s="16">
        <f>B150-DATE(2022,10,11)</f>
        <v>66</v>
      </c>
      <c r="B150" s="1" t="n">
        <v>44911</v>
      </c>
      <c r="C150" t="n">
        <v>6</v>
      </c>
      <c r="D150" t="s">
        <v>63</v>
      </c>
      <c r="E150" s="2" t="n">
        <v>15</v>
      </c>
      <c r="F150" t="n">
        <v>0</v>
      </c>
      <c r="G150" s="58">
        <f>SUM(H150:I150)</f>
        <v>8</v>
      </c>
      <c r="H150" t="n">
        <v>8</v>
      </c>
      <c r="J150" t="n">
        <v>0</v>
      </c>
      <c r="K150" t="n">
        <v>0</v>
      </c>
      <c r="M150" s="3" t="n">
        <v>38</v>
      </c>
      <c r="N150" t="s">
        <v>30</v>
      </c>
      <c r="O150" t="s">
        <v>30</v>
      </c>
      <c r="AA150" s="17"/>
      <extLst>
        <ext uri="smNativeData">
          <pm:rowDef xmlns:pm="smNativeData" id="1749180287" r="150" hidden="0" collapsedDB="1" collapsedOL="0"/>
        </ext>
      </extLst>
    </row>
    <row r="151" spans="1:27" hidden="1">
      <c r="A151" s="16">
        <f>B151-DATE(2022,10,11)</f>
        <v>66</v>
      </c>
      <c r="B151" s="1" t="n">
        <v>44911</v>
      </c>
      <c r="C151" t="n">
        <v>6</v>
      </c>
      <c r="D151" t="s">
        <v>63</v>
      </c>
      <c r="E151" s="2" t="n">
        <v>15</v>
      </c>
      <c r="F151" t="n">
        <v>0</v>
      </c>
      <c r="G151" s="58">
        <f>SUM(H151:I151)</f>
        <v>8</v>
      </c>
      <c r="H151" t="n">
        <v>8</v>
      </c>
      <c r="J151" t="n">
        <v>0</v>
      </c>
      <c r="K151" t="n">
        <v>0</v>
      </c>
      <c r="M151" s="3" t="n">
        <v>38</v>
      </c>
      <c r="N151" t="s">
        <v>30</v>
      </c>
      <c r="O151" t="s">
        <v>30</v>
      </c>
      <c r="AA151" s="17"/>
      <extLst>
        <ext uri="smNativeData">
          <pm:rowDef xmlns:pm="smNativeData" id="1749180287" r="151" hidden="0" collapsedDB="1" collapsedOL="0"/>
        </ext>
      </extLst>
    </row>
    <row r="152" spans="1:27" hidden="1">
      <c r="A152" s="16">
        <f>B152-DATE(2022,10,11)</f>
        <v>66</v>
      </c>
      <c r="B152" s="1" t="n">
        <v>44911</v>
      </c>
      <c r="C152" t="n">
        <v>6</v>
      </c>
      <c r="D152" t="s">
        <v>63</v>
      </c>
      <c r="E152" s="2" t="n">
        <v>15</v>
      </c>
      <c r="F152" t="n">
        <v>0</v>
      </c>
      <c r="G152" s="58">
        <f>SUM(H152:I152)</f>
        <v>8</v>
      </c>
      <c r="H152" t="n">
        <v>8</v>
      </c>
      <c r="J152" t="n">
        <v>0</v>
      </c>
      <c r="K152" t="n">
        <v>0</v>
      </c>
      <c r="M152" s="3" t="n">
        <v>38</v>
      </c>
      <c r="N152" t="s">
        <v>30</v>
      </c>
      <c r="O152" t="s">
        <v>30</v>
      </c>
      <c r="AA152" s="17"/>
      <extLst>
        <ext uri="smNativeData">
          <pm:rowDef xmlns:pm="smNativeData" id="1749180287" r="152" hidden="0" collapsedDB="1" collapsedOL="0"/>
        </ext>
      </extLst>
    </row>
    <row r="153" spans="1:27" hidden="1">
      <c r="A153" s="16">
        <f>B153-DATE(2022,10,11)</f>
        <v>66</v>
      </c>
      <c r="B153" s="1" t="n">
        <v>44911</v>
      </c>
      <c r="C153" t="n">
        <v>6</v>
      </c>
      <c r="D153" t="s">
        <v>63</v>
      </c>
      <c r="E153" s="2" t="n">
        <v>15</v>
      </c>
      <c r="F153" t="n">
        <v>0</v>
      </c>
      <c r="G153" s="58">
        <f>SUM(H153:I153)</f>
        <v>8</v>
      </c>
      <c r="H153" t="n">
        <v>8</v>
      </c>
      <c r="J153" t="n">
        <v>0</v>
      </c>
      <c r="K153" t="n">
        <v>0</v>
      </c>
      <c r="M153" s="3" t="n">
        <v>38</v>
      </c>
      <c r="N153" t="s">
        <v>30</v>
      </c>
      <c r="O153" t="s">
        <v>30</v>
      </c>
      <c r="AA153" s="17"/>
      <extLst>
        <ext uri="smNativeData">
          <pm:rowDef xmlns:pm="smNativeData" id="1749180287" r="153" hidden="0" collapsedDB="1" collapsedOL="0"/>
        </ext>
      </extLst>
    </row>
    <row r="154" spans="1:27" hidden="1">
      <c r="A154" s="16">
        <f>B154-DATE(2022,10,11)</f>
        <v>66</v>
      </c>
      <c r="B154" s="1" t="n">
        <v>44911</v>
      </c>
      <c r="C154" t="n">
        <v>6</v>
      </c>
      <c r="D154" t="s">
        <v>63</v>
      </c>
      <c r="E154" s="2" t="n">
        <v>15</v>
      </c>
      <c r="F154" t="n">
        <v>0</v>
      </c>
      <c r="G154" s="58">
        <f>SUM(H154:I154)</f>
        <v>8</v>
      </c>
      <c r="H154" t="n">
        <v>8</v>
      </c>
      <c r="J154" t="n">
        <v>0</v>
      </c>
      <c r="K154" t="n">
        <v>0</v>
      </c>
      <c r="M154" s="3" t="n">
        <v>38</v>
      </c>
      <c r="N154" t="s">
        <v>30</v>
      </c>
      <c r="O154" t="s">
        <v>30</v>
      </c>
      <c r="AA154" s="17"/>
      <extLst>
        <ext uri="smNativeData">
          <pm:rowDef xmlns:pm="smNativeData" id="1749180287" r="154" hidden="0" collapsedDB="1" collapsedOL="0"/>
        </ext>
      </extLst>
    </row>
    <row r="155" spans="1:27" hidden="1">
      <c r="A155" s="16">
        <f>B155-DATE(2022,10,11)</f>
        <v>66</v>
      </c>
      <c r="B155" s="1" t="n">
        <v>44911</v>
      </c>
      <c r="C155" t="n">
        <v>6</v>
      </c>
      <c r="D155" t="s">
        <v>63</v>
      </c>
      <c r="E155" s="2" t="n">
        <v>15</v>
      </c>
      <c r="F155" t="n">
        <v>0</v>
      </c>
      <c r="G155" s="58">
        <f>SUM(H155:I155)</f>
        <v>8</v>
      </c>
      <c r="H155" t="n">
        <v>8</v>
      </c>
      <c r="J155" t="n">
        <v>0</v>
      </c>
      <c r="K155" t="n">
        <v>0</v>
      </c>
      <c r="M155" s="3" t="n">
        <v>38</v>
      </c>
      <c r="N155" t="s">
        <v>30</v>
      </c>
      <c r="O155" t="s">
        <v>30</v>
      </c>
      <c r="AA155" s="17"/>
      <extLst>
        <ext uri="smNativeData">
          <pm:rowDef xmlns:pm="smNativeData" id="1749180287" r="155" hidden="0" collapsedDB="1" collapsedOL="0"/>
        </ext>
      </extLst>
    </row>
    <row r="156" spans="1:27" hidden="1">
      <c r="A156" s="16">
        <f>B156-DATE(2022,10,11)</f>
        <v>66</v>
      </c>
      <c r="B156" s="1" t="n">
        <v>44911</v>
      </c>
      <c r="C156" t="n">
        <v>6</v>
      </c>
      <c r="D156" t="s">
        <v>63</v>
      </c>
      <c r="E156" s="2" t="n">
        <v>15</v>
      </c>
      <c r="F156" t="n">
        <v>0</v>
      </c>
      <c r="G156" s="58">
        <f>SUM(H156:I156)</f>
        <v>8</v>
      </c>
      <c r="H156" t="n">
        <v>8</v>
      </c>
      <c r="J156" t="n">
        <v>0</v>
      </c>
      <c r="K156" t="n">
        <v>0</v>
      </c>
      <c r="M156" s="3" t="n">
        <v>38</v>
      </c>
      <c r="N156" t="s">
        <v>30</v>
      </c>
      <c r="O156" t="s">
        <v>30</v>
      </c>
      <c r="AA156" s="17"/>
      <extLst>
        <ext uri="smNativeData">
          <pm:rowDef xmlns:pm="smNativeData" id="1749180287" r="156" hidden="0" collapsedDB="1" collapsedOL="0"/>
        </ext>
      </extLst>
    </row>
    <row r="157" spans="1:27" hidden="1">
      <c r="A157" s="16">
        <f>B157-DATE(2022,10,11)</f>
        <v>66</v>
      </c>
      <c r="B157" s="1" t="n">
        <v>44911</v>
      </c>
      <c r="C157" t="n">
        <v>6</v>
      </c>
      <c r="D157" t="s">
        <v>63</v>
      </c>
      <c r="E157" s="2" t="n">
        <v>15</v>
      </c>
      <c r="F157" t="n">
        <v>0</v>
      </c>
      <c r="G157" s="58">
        <f>SUM(H157:I157)</f>
        <v>8</v>
      </c>
      <c r="H157" t="n">
        <v>8</v>
      </c>
      <c r="J157" t="n">
        <v>0</v>
      </c>
      <c r="K157" t="n">
        <v>0</v>
      </c>
      <c r="M157" s="3" t="n">
        <v>38</v>
      </c>
      <c r="N157" t="s">
        <v>30</v>
      </c>
      <c r="O157" t="s">
        <v>30</v>
      </c>
      <c r="AA157" s="17"/>
      <extLst>
        <ext uri="smNativeData">
          <pm:rowDef xmlns:pm="smNativeData" id="1749180287" r="157" hidden="0" collapsedDB="1" collapsedOL="0"/>
        </ext>
      </extLst>
    </row>
    <row r="158" spans="1:27" hidden="1">
      <c r="A158" s="16">
        <f>B158-DATE(2022,10,11)</f>
        <v>66</v>
      </c>
      <c r="B158" s="1" t="n">
        <v>44911</v>
      </c>
      <c r="C158" t="n">
        <v>6</v>
      </c>
      <c r="D158" t="s">
        <v>63</v>
      </c>
      <c r="E158" s="2" t="n">
        <v>15</v>
      </c>
      <c r="F158" t="n">
        <v>0</v>
      </c>
      <c r="G158" s="58">
        <f>SUM(H158:I158)</f>
        <v>8</v>
      </c>
      <c r="H158" t="n">
        <v>8</v>
      </c>
      <c r="J158" t="n">
        <v>0</v>
      </c>
      <c r="K158" t="n">
        <v>0</v>
      </c>
      <c r="M158" s="3" t="n">
        <v>38</v>
      </c>
      <c r="N158" t="s">
        <v>30</v>
      </c>
      <c r="O158" t="s">
        <v>30</v>
      </c>
      <c r="AA158" s="17"/>
      <extLst>
        <ext uri="smNativeData">
          <pm:rowDef xmlns:pm="smNativeData" id="1749180287" r="158" hidden="0" collapsedDB="1" collapsedOL="0"/>
        </ext>
      </extLst>
    </row>
    <row r="159" spans="1:27" hidden="1">
      <c r="A159" s="16">
        <f>B159-DATE(2022,10,11)</f>
        <v>66</v>
      </c>
      <c r="B159" s="1" t="n">
        <v>44911</v>
      </c>
      <c r="C159" t="n">
        <v>6</v>
      </c>
      <c r="D159" t="s">
        <v>63</v>
      </c>
      <c r="E159" s="2" t="n">
        <v>15</v>
      </c>
      <c r="F159" t="n">
        <v>0</v>
      </c>
      <c r="G159" s="58">
        <f>SUM(H159:I159)</f>
        <v>8</v>
      </c>
      <c r="H159" t="n">
        <v>8</v>
      </c>
      <c r="J159" t="n">
        <v>0</v>
      </c>
      <c r="K159" t="n">
        <v>0</v>
      </c>
      <c r="M159" s="3" t="n">
        <v>38</v>
      </c>
      <c r="N159" t="s">
        <v>30</v>
      </c>
      <c r="O159" t="s">
        <v>30</v>
      </c>
      <c r="AA159" s="17"/>
      <extLst>
        <ext uri="smNativeData">
          <pm:rowDef xmlns:pm="smNativeData" id="1749180287" r="159" hidden="0" collapsedDB="1" collapsedOL="0"/>
        </ext>
      </extLst>
    </row>
    <row r="160" spans="1:27" hidden="1">
      <c r="A160" s="16">
        <f>B160-DATE(2022,10,11)</f>
        <v>66</v>
      </c>
      <c r="B160" s="1" t="n">
        <v>44911</v>
      </c>
      <c r="C160" t="n">
        <v>6</v>
      </c>
      <c r="D160" t="s">
        <v>63</v>
      </c>
      <c r="E160" s="2" t="n">
        <v>15</v>
      </c>
      <c r="F160" t="n">
        <v>0</v>
      </c>
      <c r="G160" s="58">
        <f>SUM(H160:I160)</f>
        <v>8</v>
      </c>
      <c r="H160" t="n">
        <v>8</v>
      </c>
      <c r="J160" t="n">
        <v>0</v>
      </c>
      <c r="K160" t="n">
        <v>0</v>
      </c>
      <c r="M160" s="3" t="n">
        <v>38</v>
      </c>
      <c r="N160" t="s">
        <v>30</v>
      </c>
      <c r="O160" t="s">
        <v>30</v>
      </c>
      <c r="AA160" s="17"/>
      <extLst>
        <ext uri="smNativeData">
          <pm:rowDef xmlns:pm="smNativeData" id="1749180287" r="160" hidden="0" collapsedDB="1" collapsedOL="0"/>
        </ext>
      </extLst>
    </row>
    <row r="161" spans="1:27" hidden="1">
      <c r="A161" s="16">
        <f>B161-DATE(2022,10,11)</f>
        <v>66</v>
      </c>
      <c r="B161" s="1" t="n">
        <v>44911</v>
      </c>
      <c r="C161" t="n">
        <v>6</v>
      </c>
      <c r="D161" t="s">
        <v>63</v>
      </c>
      <c r="E161" s="2" t="n">
        <v>15</v>
      </c>
      <c r="F161" t="n">
        <v>0</v>
      </c>
      <c r="G161" s="58">
        <f>SUM(H161:I161)</f>
        <v>8</v>
      </c>
      <c r="H161" t="n">
        <v>8</v>
      </c>
      <c r="J161" t="n">
        <v>0</v>
      </c>
      <c r="K161" t="n">
        <v>0</v>
      </c>
      <c r="M161" s="3" t="n">
        <v>38</v>
      </c>
      <c r="N161" t="s">
        <v>30</v>
      </c>
      <c r="O161" t="s">
        <v>30</v>
      </c>
      <c r="AA161" s="17"/>
      <extLst>
        <ext uri="smNativeData">
          <pm:rowDef xmlns:pm="smNativeData" id="1749180287" r="161" hidden="0" collapsedDB="1" collapsedOL="0"/>
        </ext>
      </extLst>
    </row>
    <row r="162" spans="1:27" hidden="1">
      <c r="A162" s="16">
        <f>B162-DATE(2022,10,11)</f>
        <v>66</v>
      </c>
      <c r="B162" s="1" t="n">
        <v>44911</v>
      </c>
      <c r="C162" t="n">
        <v>6</v>
      </c>
      <c r="D162" t="s">
        <v>63</v>
      </c>
      <c r="E162" s="2" t="n">
        <v>15</v>
      </c>
      <c r="F162" t="n">
        <v>0</v>
      </c>
      <c r="G162" s="58">
        <f>SUM(H162:I162)</f>
        <v>8</v>
      </c>
      <c r="H162" t="n">
        <v>8</v>
      </c>
      <c r="J162" t="n">
        <v>0</v>
      </c>
      <c r="K162" t="n">
        <v>0</v>
      </c>
      <c r="M162" s="3" t="n">
        <v>38</v>
      </c>
      <c r="N162" t="s">
        <v>30</v>
      </c>
      <c r="O162" t="s">
        <v>30</v>
      </c>
      <c r="AA162" s="17"/>
      <extLst>
        <ext uri="smNativeData">
          <pm:rowDef xmlns:pm="smNativeData" id="1749180287" r="162" hidden="0" collapsedDB="1" collapsedOL="0"/>
        </ext>
      </extLst>
    </row>
    <row r="163" spans="1:27" hidden="1">
      <c r="A163" s="16">
        <f>B163-DATE(2022,10,11)</f>
        <v>66</v>
      </c>
      <c r="B163" s="1" t="n">
        <v>44911</v>
      </c>
      <c r="C163" t="n">
        <v>6</v>
      </c>
      <c r="D163" t="s">
        <v>63</v>
      </c>
      <c r="E163" s="2" t="n">
        <v>15</v>
      </c>
      <c r="F163" t="n">
        <v>0</v>
      </c>
      <c r="G163" s="58">
        <f>SUM(H163:I163)</f>
        <v>8</v>
      </c>
      <c r="H163" t="n">
        <v>8</v>
      </c>
      <c r="J163" t="n">
        <v>0</v>
      </c>
      <c r="K163" t="n">
        <v>0</v>
      </c>
      <c r="M163" s="3" t="n">
        <v>38</v>
      </c>
      <c r="N163" t="s">
        <v>30</v>
      </c>
      <c r="O163" t="s">
        <v>30</v>
      </c>
      <c r="AA163" s="17"/>
      <extLst>
        <ext uri="smNativeData">
          <pm:rowDef xmlns:pm="smNativeData" id="1749180287" r="163" hidden="0" collapsedDB="1" collapsedOL="0"/>
        </ext>
      </extLst>
    </row>
    <row r="164" spans="1:27" hidden="1">
      <c r="A164" s="16">
        <f>B164-DATE(2022,10,11)</f>
        <v>66</v>
      </c>
      <c r="B164" s="1" t="n">
        <v>44911</v>
      </c>
      <c r="C164" t="n">
        <v>6</v>
      </c>
      <c r="D164" t="s">
        <v>63</v>
      </c>
      <c r="E164" s="2" t="n">
        <v>15</v>
      </c>
      <c r="F164" t="n">
        <v>0</v>
      </c>
      <c r="G164" s="63">
        <f>SUM(H164:I164)</f>
        <v>8</v>
      </c>
      <c r="H164" t="n">
        <v>8</v>
      </c>
      <c r="J164" t="n">
        <v>0</v>
      </c>
      <c r="K164" t="n">
        <v>0</v>
      </c>
      <c r="M164" s="3" t="n">
        <v>38</v>
      </c>
      <c r="N164" t="s">
        <v>30</v>
      </c>
      <c r="O164" t="s">
        <v>30</v>
      </c>
      <c r="AA164" s="17"/>
      <extLst>
        <ext uri="smNativeData">
          <pm:rowDef xmlns:pm="smNativeData" id="1749180287" r="164" hidden="0" collapsedDB="1" collapsedOL="0"/>
        </ext>
      </extLst>
    </row>
    <row r="165" spans="1:27" hidden="1">
      <c r="A165" s="115">
        <f>B165-DATE(2022,10,11)</f>
        <v>73</v>
      </c>
      <c r="B165" s="116" t="n">
        <v>44918</v>
      </c>
      <c r="C165" s="59" t="n">
        <v>6</v>
      </c>
      <c r="D165" s="59" t="s">
        <v>28</v>
      </c>
      <c r="E165" s="117" t="n">
        <v>19</v>
      </c>
      <c r="F165" s="59" t="n">
        <v>0</v>
      </c>
      <c r="G165" s="60">
        <f>SUM(H165:I165)</f>
        <v>9</v>
      </c>
      <c r="H165" s="59" t="n">
        <v>9</v>
      </c>
      <c r="I165" s="59"/>
      <c r="J165" s="59" t="n">
        <v>0</v>
      </c>
      <c r="K165" s="59" t="n">
        <v>0</v>
      </c>
      <c r="L165" s="118" t="s">
        <v>29</v>
      </c>
      <c r="M165" s="119" t="n">
        <v>2</v>
      </c>
      <c r="N165" s="59" t="s">
        <v>30</v>
      </c>
      <c r="O165" s="59" t="s">
        <v>30</v>
      </c>
      <c r="P165" s="59" t="s">
        <v>31</v>
      </c>
      <c r="Q165" s="59" t="s">
        <v>46</v>
      </c>
      <c r="R165" s="59" t="s">
        <v>34</v>
      </c>
      <c r="S165" s="59" t="s">
        <v>34</v>
      </c>
      <c r="T165" s="59" t="s">
        <v>57</v>
      </c>
      <c r="U165" s="59" t="s">
        <v>46</v>
      </c>
      <c r="V165" s="59" t="s">
        <v>103</v>
      </c>
      <c r="W165" s="59" t="s">
        <v>34</v>
      </c>
      <c r="X165" s="59" t="n">
        <v>0</v>
      </c>
      <c r="Y165" s="59" t="s">
        <v>57</v>
      </c>
      <c r="Z165" s="59"/>
      <c r="AA165" s="120"/>
      <extLst>
        <ext uri="smNativeData">
          <pm:rowDef xmlns:pm="smNativeData" id="1749180287" r="165" hidden="0" collapsedDB="1" collapsedOL="0"/>
        </ext>
      </extLst>
    </row>
    <row r="166" spans="1:28">
      <c r="A166" s="121">
        <f>B166-DATE(2022,10,11)</f>
        <v>73</v>
      </c>
      <c r="B166" s="122" t="n">
        <v>44918</v>
      </c>
      <c r="C166" s="77" t="n">
        <v>6</v>
      </c>
      <c r="D166" s="77" t="s">
        <v>28</v>
      </c>
      <c r="E166" s="123" t="n">
        <v>19</v>
      </c>
      <c r="F166" s="77" t="n">
        <v>0</v>
      </c>
      <c r="G166" s="124">
        <f>SUM(H166:I166)</f>
        <v>9</v>
      </c>
      <c r="H166" s="77" t="n">
        <v>9</v>
      </c>
      <c r="I166" s="77"/>
      <c r="J166" s="77" t="n">
        <v>0</v>
      </c>
      <c r="K166" s="77" t="n">
        <v>0</v>
      </c>
      <c r="L166" s="125" t="s">
        <v>29</v>
      </c>
      <c r="M166" s="126" t="n">
        <v>2</v>
      </c>
      <c r="N166" s="77" t="s">
        <v>30</v>
      </c>
      <c r="O166" s="77" t="s">
        <v>30</v>
      </c>
      <c r="P166" s="77" t="s">
        <v>31</v>
      </c>
      <c r="Q166" s="77" t="s">
        <v>46</v>
      </c>
      <c r="R166" s="77" t="s">
        <v>34</v>
      </c>
      <c r="S166" s="77" t="s">
        <v>34</v>
      </c>
      <c r="T166" s="77" t="s">
        <v>57</v>
      </c>
      <c r="U166" s="77" t="s">
        <v>46</v>
      </c>
      <c r="V166" s="77" t="s">
        <v>34</v>
      </c>
      <c r="W166" s="77" t="s">
        <v>104</v>
      </c>
      <c r="X166" s="77" t="n">
        <v>0</v>
      </c>
      <c r="Y166" s="77" t="s">
        <v>103</v>
      </c>
      <c r="Z166" s="77"/>
      <c r="AA166" s="127" t="s">
        <v>105</v>
      </c>
      <c r="AB166" t="s">
        <v>31</v>
      </c>
    </row>
    <row r="167" spans="1:27" hidden="1">
      <c r="A167" s="11">
        <f>B167-DATE(2022,10,11)</f>
        <v>73</v>
      </c>
      <c r="B167" s="12" t="n">
        <v>44918</v>
      </c>
      <c r="C167" s="13" t="n">
        <v>6</v>
      </c>
      <c r="D167" s="13" t="s">
        <v>52</v>
      </c>
      <c r="E167" s="14" t="n">
        <v>18</v>
      </c>
      <c r="F167" s="13" t="n">
        <v>0</v>
      </c>
      <c r="G167" s="58">
        <f>SUM(H167:I167)</f>
        <v>7</v>
      </c>
      <c r="H167" s="13" t="n">
        <v>7</v>
      </c>
      <c r="I167" s="13"/>
      <c r="J167" s="13" t="n">
        <v>0</v>
      </c>
      <c r="K167" s="13" t="n">
        <v>0</v>
      </c>
      <c r="L167" s="26" t="s">
        <v>29</v>
      </c>
      <c r="M167" s="49" t="n">
        <v>2</v>
      </c>
      <c r="N167" s="13" t="s">
        <v>30</v>
      </c>
      <c r="O167" s="13" t="s">
        <v>30</v>
      </c>
      <c r="P167" s="13" t="s">
        <v>31</v>
      </c>
      <c r="Q167" s="13" t="s">
        <v>46</v>
      </c>
      <c r="R167" s="13" t="s">
        <v>34</v>
      </c>
      <c r="S167" s="13" t="s">
        <v>34</v>
      </c>
      <c r="T167" s="13" t="s">
        <v>57</v>
      </c>
      <c r="U167" s="13" t="s">
        <v>46</v>
      </c>
      <c r="V167" s="13" t="s">
        <v>34</v>
      </c>
      <c r="W167" s="13" t="s">
        <v>106</v>
      </c>
      <c r="X167" s="13" t="n">
        <v>27</v>
      </c>
      <c r="Y167" s="13" t="s">
        <v>57</v>
      </c>
      <c r="Z167" s="13"/>
      <c r="AA167" s="15"/>
      <extLst>
        <ext uri="smNativeData">
          <pm:rowDef xmlns:pm="smNativeData" id="1749180287" r="167" hidden="0" collapsedDB="1" collapsedOL="0"/>
        </ext>
      </extLst>
    </row>
    <row r="168" spans="1:27" hidden="1">
      <c r="A168" s="31">
        <f>B168-DATE(2022,10,11)</f>
        <v>73</v>
      </c>
      <c r="B168" s="32" t="n">
        <v>44918</v>
      </c>
      <c r="C168" s="33" t="n">
        <v>6</v>
      </c>
      <c r="D168" s="33" t="s">
        <v>52</v>
      </c>
      <c r="E168" s="5" t="n">
        <v>18</v>
      </c>
      <c r="F168" s="33" t="n">
        <v>0</v>
      </c>
      <c r="G168" s="58">
        <f>SUM(H168:I168)</f>
        <v>7</v>
      </c>
      <c r="H168" s="33" t="n">
        <v>7</v>
      </c>
      <c r="I168" s="33"/>
      <c r="J168" s="33" t="n">
        <v>0</v>
      </c>
      <c r="K168" s="33" t="n">
        <v>0</v>
      </c>
      <c r="L168" s="53" t="s">
        <v>29</v>
      </c>
      <c r="M168" s="50" t="n">
        <v>2</v>
      </c>
      <c r="N168" s="33" t="s">
        <v>30</v>
      </c>
      <c r="O168" s="33" t="s">
        <v>30</v>
      </c>
      <c r="P168" s="33" t="s">
        <v>31</v>
      </c>
      <c r="Q168" s="33" t="s">
        <v>46</v>
      </c>
      <c r="R168" s="33" t="s">
        <v>34</v>
      </c>
      <c r="S168" s="33" t="s">
        <v>34</v>
      </c>
      <c r="T168" s="33" t="s">
        <v>57</v>
      </c>
      <c r="U168" s="33" t="s">
        <v>46</v>
      </c>
      <c r="V168" s="33" t="s">
        <v>76</v>
      </c>
      <c r="W168" s="33" t="s">
        <v>106</v>
      </c>
      <c r="X168" s="33" t="n">
        <v>21</v>
      </c>
      <c r="Y168" s="33" t="s">
        <v>57</v>
      </c>
      <c r="Z168" s="33"/>
      <c r="AA168" s="34"/>
      <extLst>
        <ext uri="smNativeData">
          <pm:rowDef xmlns:pm="smNativeData" id="1749180287" r="168" hidden="0" collapsedDB="1" collapsedOL="0"/>
        </ext>
      </extLst>
    </row>
    <row r="169" spans="1:28">
      <c r="A169" s="16">
        <f>B169-DATE(2022,10,11)</f>
        <v>77</v>
      </c>
      <c r="B169" s="1" t="n">
        <v>44922</v>
      </c>
      <c r="C169" t="n">
        <v>6</v>
      </c>
      <c r="D169" t="s">
        <v>28</v>
      </c>
      <c r="E169" s="2" t="n">
        <v>18</v>
      </c>
      <c r="F169" t="n">
        <v>0</v>
      </c>
      <c r="G169" s="4">
        <f>SUM(H169:I169)</f>
        <v>9</v>
      </c>
      <c r="H169" t="n">
        <v>9</v>
      </c>
      <c r="J169" t="n">
        <v>0</v>
      </c>
      <c r="K169" t="n">
        <v>0</v>
      </c>
      <c r="L169" s="25" t="s">
        <v>47</v>
      </c>
      <c r="M169" s="3" t="n">
        <v>1</v>
      </c>
      <c r="N169" t="s">
        <v>30</v>
      </c>
      <c r="O169" t="s">
        <v>30</v>
      </c>
      <c r="P169" t="s">
        <v>31</v>
      </c>
      <c r="Q169" t="s">
        <v>34</v>
      </c>
      <c r="R169" t="s">
        <v>34</v>
      </c>
      <c r="S169" t="s">
        <v>34</v>
      </c>
      <c r="T169" t="s">
        <v>100</v>
      </c>
      <c r="U169" t="s">
        <v>34</v>
      </c>
      <c r="V169" t="s">
        <v>34</v>
      </c>
      <c r="W169" t="s">
        <v>107</v>
      </c>
      <c r="X169" t="n">
        <v>0</v>
      </c>
      <c r="Y169" t="s">
        <v>103</v>
      </c>
      <c r="AA169" s="17" t="s">
        <v>108</v>
      </c>
      <c r="AB169" t="s">
        <v>31</v>
      </c>
    </row>
    <row r="170" spans="1:27" hidden="1">
      <c r="A170" s="11">
        <f>B170-DATE(2022,10,11)</f>
        <v>80</v>
      </c>
      <c r="B170" s="12" t="n">
        <v>44925</v>
      </c>
      <c r="C170" s="13" t="n">
        <v>6</v>
      </c>
      <c r="D170" s="13" t="s">
        <v>28</v>
      </c>
      <c r="E170" s="14" t="n">
        <v>18</v>
      </c>
      <c r="F170" s="13" t="n">
        <v>0</v>
      </c>
      <c r="G170" s="58">
        <f>SUM(H170:I170)</f>
        <v>9</v>
      </c>
      <c r="H170" s="13" t="n">
        <v>9</v>
      </c>
      <c r="I170" s="13"/>
      <c r="J170" s="13" t="n">
        <v>0</v>
      </c>
      <c r="K170" s="13" t="n">
        <v>0</v>
      </c>
      <c r="L170" s="26" t="s">
        <v>109</v>
      </c>
      <c r="M170" s="49" t="n">
        <v>4</v>
      </c>
      <c r="N170" s="13" t="s">
        <v>30</v>
      </c>
      <c r="O170" s="13" t="s">
        <v>30</v>
      </c>
      <c r="P170" s="13" t="s">
        <v>31</v>
      </c>
      <c r="Q170" s="13" t="s">
        <v>46</v>
      </c>
      <c r="R170" s="13"/>
      <c r="S170" s="13" t="s">
        <v>34</v>
      </c>
      <c r="T170" s="13" t="s">
        <v>100</v>
      </c>
      <c r="U170" s="13" t="s">
        <v>46</v>
      </c>
      <c r="V170" s="13" t="s">
        <v>34</v>
      </c>
      <c r="W170" s="13" t="s">
        <v>110</v>
      </c>
      <c r="X170" s="13" t="n">
        <v>0</v>
      </c>
      <c r="Y170" s="13"/>
      <c r="Z170" s="13"/>
      <c r="AA170" s="15"/>
      <extLst>
        <ext uri="smNativeData">
          <pm:rowDef xmlns:pm="smNativeData" id="1749180287" r="170" hidden="0" collapsedDB="1" collapsedOL="0"/>
        </ext>
      </extLst>
    </row>
    <row r="171" spans="1:27" hidden="1">
      <c r="A171" s="16">
        <f>B171-DATE(2022,10,11)</f>
        <v>80</v>
      </c>
      <c r="B171" s="1" t="n">
        <v>44925</v>
      </c>
      <c r="C171" t="n">
        <v>6</v>
      </c>
      <c r="D171" t="s">
        <v>28</v>
      </c>
      <c r="E171" s="2" t="n">
        <v>18</v>
      </c>
      <c r="F171" t="n">
        <v>0</v>
      </c>
      <c r="G171" s="58">
        <f>SUM(H171:I171)</f>
        <v>9</v>
      </c>
      <c r="H171" t="n">
        <v>9</v>
      </c>
      <c r="J171" t="n">
        <v>0</v>
      </c>
      <c r="K171" t="n">
        <v>0</v>
      </c>
      <c r="L171" s="25" t="s">
        <v>109</v>
      </c>
      <c r="M171" s="3" t="n">
        <v>4</v>
      </c>
      <c r="N171" t="s">
        <v>30</v>
      </c>
      <c r="O171" t="s">
        <v>30</v>
      </c>
      <c r="P171" t="s">
        <v>31</v>
      </c>
      <c r="Q171" t="s">
        <v>46</v>
      </c>
      <c r="S171" t="s">
        <v>34</v>
      </c>
      <c r="T171" t="s">
        <v>100</v>
      </c>
      <c r="U171" t="s">
        <v>46</v>
      </c>
      <c r="V171" t="s">
        <v>34</v>
      </c>
      <c r="W171" t="s">
        <v>111</v>
      </c>
      <c r="X171" t="n">
        <v>0</v>
      </c>
      <c r="AA171" s="17"/>
      <extLst>
        <ext uri="smNativeData">
          <pm:rowDef xmlns:pm="smNativeData" id="1749180287" r="171" hidden="0" collapsedDB="1" collapsedOL="0"/>
        </ext>
      </extLst>
    </row>
    <row r="172" spans="1:27" hidden="1">
      <c r="A172" s="16">
        <f>B172-DATE(2022,10,11)</f>
        <v>80</v>
      </c>
      <c r="B172" s="1" t="n">
        <v>44925</v>
      </c>
      <c r="C172" t="n">
        <v>6</v>
      </c>
      <c r="D172" t="s">
        <v>28</v>
      </c>
      <c r="E172" s="2" t="n">
        <v>18</v>
      </c>
      <c r="F172" t="n">
        <v>0</v>
      </c>
      <c r="G172" s="58">
        <f>SUM(H172:I172)</f>
        <v>9</v>
      </c>
      <c r="H172" t="n">
        <v>9</v>
      </c>
      <c r="J172" t="n">
        <v>0</v>
      </c>
      <c r="K172" t="n">
        <v>0</v>
      </c>
      <c r="L172" s="25" t="s">
        <v>109</v>
      </c>
      <c r="M172" s="3" t="n">
        <v>4</v>
      </c>
      <c r="N172" t="s">
        <v>30</v>
      </c>
      <c r="O172" t="s">
        <v>30</v>
      </c>
      <c r="P172" t="s">
        <v>31</v>
      </c>
      <c r="Q172" t="s">
        <v>46</v>
      </c>
      <c r="S172" t="s">
        <v>34</v>
      </c>
      <c r="T172" t="s">
        <v>100</v>
      </c>
      <c r="U172" t="s">
        <v>46</v>
      </c>
      <c r="V172" t="s">
        <v>34</v>
      </c>
      <c r="W172" t="s">
        <v>111</v>
      </c>
      <c r="X172" t="n">
        <v>0</v>
      </c>
      <c r="AA172" s="17"/>
      <extLst>
        <ext uri="smNativeData">
          <pm:rowDef xmlns:pm="smNativeData" id="1749180287" r="172" hidden="0" collapsedDB="1" collapsedOL="0"/>
        </ext>
      </extLst>
    </row>
    <row r="173" spans="1:27" hidden="1">
      <c r="A173" s="31">
        <f>B173-DATE(2022,10,11)</f>
        <v>80</v>
      </c>
      <c r="B173" s="32" t="n">
        <v>44925</v>
      </c>
      <c r="C173" s="33" t="n">
        <v>6</v>
      </c>
      <c r="D173" s="33" t="s">
        <v>28</v>
      </c>
      <c r="E173" s="5" t="n">
        <v>18</v>
      </c>
      <c r="F173" s="33" t="n">
        <v>0</v>
      </c>
      <c r="G173" s="58">
        <f>SUM(H173:I173)</f>
        <v>9</v>
      </c>
      <c r="H173" s="33" t="n">
        <v>9</v>
      </c>
      <c r="I173" s="33"/>
      <c r="J173" s="33" t="n">
        <v>0</v>
      </c>
      <c r="K173" s="33" t="n">
        <v>0</v>
      </c>
      <c r="L173" s="53" t="s">
        <v>109</v>
      </c>
      <c r="M173" s="50" t="n">
        <v>4</v>
      </c>
      <c r="N173" s="33" t="s">
        <v>30</v>
      </c>
      <c r="O173" s="33" t="s">
        <v>30</v>
      </c>
      <c r="P173" s="33" t="s">
        <v>31</v>
      </c>
      <c r="Q173" s="33" t="s">
        <v>46</v>
      </c>
      <c r="R173" s="33"/>
      <c r="S173" s="33" t="s">
        <v>34</v>
      </c>
      <c r="T173" s="33" t="s">
        <v>100</v>
      </c>
      <c r="U173" s="33" t="s">
        <v>46</v>
      </c>
      <c r="V173" s="33" t="s">
        <v>34</v>
      </c>
      <c r="W173" s="33" t="s">
        <v>111</v>
      </c>
      <c r="X173" s="33" t="n">
        <v>0</v>
      </c>
      <c r="Y173" s="33"/>
      <c r="Z173" s="33"/>
      <c r="AA173" s="34"/>
      <extLst>
        <ext uri="smNativeData">
          <pm:rowDef xmlns:pm="smNativeData" id="1749180287" r="173" hidden="0" collapsedDB="1" collapsedOL="0"/>
        </ext>
      </extLst>
    </row>
    <row r="174" spans="1:28">
      <c r="A174" s="31">
        <f>B174-DATE(2022,10,11)</f>
        <v>85</v>
      </c>
      <c r="B174" s="32" t="n">
        <v>44930</v>
      </c>
      <c r="C174" s="33" t="n">
        <v>6</v>
      </c>
      <c r="D174" s="33" t="s">
        <v>28</v>
      </c>
      <c r="E174" s="5" t="n">
        <v>18</v>
      </c>
      <c r="F174" s="33" t="n">
        <v>0</v>
      </c>
      <c r="G174" s="6">
        <f>SUM(H174:I174)</f>
        <v>9</v>
      </c>
      <c r="H174" s="33" t="n">
        <v>9</v>
      </c>
      <c r="I174" s="33"/>
      <c r="J174" s="33" t="n">
        <v>0</v>
      </c>
      <c r="K174" s="33" t="n">
        <v>0</v>
      </c>
      <c r="L174" s="53" t="s">
        <v>112</v>
      </c>
      <c r="M174" s="50" t="n">
        <v>1</v>
      </c>
      <c r="N174" s="33" t="s">
        <v>30</v>
      </c>
      <c r="O174" s="33" t="s">
        <v>30</v>
      </c>
      <c r="P174" s="33" t="s">
        <v>31</v>
      </c>
      <c r="Q174" s="33" t="s">
        <v>113</v>
      </c>
      <c r="R174" s="33" t="s">
        <v>33</v>
      </c>
      <c r="S174" s="33" t="s">
        <v>34</v>
      </c>
      <c r="T174" s="33" t="s">
        <v>114</v>
      </c>
      <c r="U174" s="33" t="s">
        <v>115</v>
      </c>
      <c r="V174" s="33" t="s">
        <v>34</v>
      </c>
      <c r="W174" s="33" t="s">
        <v>104</v>
      </c>
      <c r="X174" s="33" t="n">
        <v>0</v>
      </c>
      <c r="Y174" s="33" t="s">
        <v>57</v>
      </c>
      <c r="Z174" s="33"/>
      <c r="AA174" s="34" t="s">
        <v>116</v>
      </c>
      <c r="AB174" t="s">
        <v>31</v>
      </c>
    </row>
    <row r="175" spans="1:27" hidden="1">
      <c r="A175" s="16">
        <f>B175-DATE(2022,10,11)</f>
        <v>90</v>
      </c>
      <c r="B175" s="1" t="n">
        <v>44935</v>
      </c>
      <c r="C175" t="n">
        <v>6</v>
      </c>
      <c r="D175" t="s">
        <v>28</v>
      </c>
      <c r="E175" s="2" t="n">
        <v>18</v>
      </c>
      <c r="F175" t="n">
        <v>0</v>
      </c>
      <c r="G175" s="4">
        <f>SUM(H175:I175)</f>
        <v>8</v>
      </c>
      <c r="H175" t="n">
        <v>8</v>
      </c>
      <c r="J175" t="n">
        <v>0</v>
      </c>
      <c r="K175" t="n">
        <v>6</v>
      </c>
      <c r="L175" s="25" t="s">
        <v>117</v>
      </c>
      <c r="M175" s="3" t="n">
        <v>1</v>
      </c>
      <c r="N175" t="s">
        <v>30</v>
      </c>
      <c r="O175" t="s">
        <v>30</v>
      </c>
      <c r="P175" t="s">
        <v>118</v>
      </c>
      <c r="Q175" t="s">
        <v>114</v>
      </c>
      <c r="S175" t="s">
        <v>104</v>
      </c>
      <c r="T175" t="s">
        <v>57</v>
      </c>
      <c r="U175" t="s">
        <v>40</v>
      </c>
      <c r="V175" t="s">
        <v>40</v>
      </c>
      <c r="W175" t="s">
        <v>40</v>
      </c>
      <c r="X175" t="n">
        <v>0</v>
      </c>
      <c r="Y175" t="s">
        <v>40</v>
      </c>
      <c r="AA175" s="17"/>
      <extLst>
        <ext uri="smNativeData">
          <pm:rowDef xmlns:pm="smNativeData" id="1749180287" r="175" hidden="0" collapsedDB="1" collapsedOL="0"/>
        </ext>
      </extLst>
    </row>
    <row r="176" spans="1:27" hidden="1">
      <c r="A176" s="11">
        <f>B176-DATE(2022,10,11)</f>
        <v>94</v>
      </c>
      <c r="B176" s="12" t="n">
        <v>44939</v>
      </c>
      <c r="C176" s="13" t="n">
        <v>6</v>
      </c>
      <c r="D176" s="13" t="s">
        <v>28</v>
      </c>
      <c r="E176" s="14" t="n">
        <v>18</v>
      </c>
      <c r="F176" s="13" t="n">
        <v>0</v>
      </c>
      <c r="G176" s="63">
        <f>SUM(H176:I176)</f>
        <v>5</v>
      </c>
      <c r="H176" s="13" t="n">
        <v>5</v>
      </c>
      <c r="I176" s="13"/>
      <c r="J176" s="13" t="n">
        <v>0</v>
      </c>
      <c r="K176" s="13" t="n">
        <v>14</v>
      </c>
      <c r="L176" s="26"/>
      <c r="M176" s="49" t="n">
        <v>4</v>
      </c>
      <c r="N176" s="13" t="s">
        <v>30</v>
      </c>
      <c r="O176" s="13" t="s">
        <v>30</v>
      </c>
      <c r="P176" s="13" t="s">
        <v>119</v>
      </c>
      <c r="Q176" s="13" t="s">
        <v>120</v>
      </c>
      <c r="R176" s="13" t="s">
        <v>34</v>
      </c>
      <c r="S176" s="13" t="s">
        <v>34</v>
      </c>
      <c r="T176" s="13" t="s">
        <v>57</v>
      </c>
      <c r="U176" s="13" t="s">
        <v>33</v>
      </c>
      <c r="V176" s="13" t="s">
        <v>76</v>
      </c>
      <c r="W176" s="13" t="s">
        <v>33</v>
      </c>
      <c r="X176" s="13" t="n">
        <v>0</v>
      </c>
      <c r="Y176" s="13" t="s">
        <v>57</v>
      </c>
      <c r="Z176" s="13"/>
      <c r="AA176" s="15"/>
      <extLst>
        <ext uri="smNativeData">
          <pm:rowDef xmlns:pm="smNativeData" id="1749180287" r="176" hidden="0" collapsedDB="1" collapsedOL="0"/>
        </ext>
      </extLst>
    </row>
    <row r="177" spans="1:27" hidden="1">
      <c r="A177" s="16">
        <f>B177-DATE(2022,10,11)</f>
        <v>94</v>
      </c>
      <c r="B177" s="1" t="n">
        <v>44939</v>
      </c>
      <c r="C177" t="n">
        <v>6</v>
      </c>
      <c r="D177" t="s">
        <v>28</v>
      </c>
      <c r="E177" s="2" t="n">
        <v>18</v>
      </c>
      <c r="F177" t="n">
        <v>0</v>
      </c>
      <c r="G177" s="4">
        <f>SUM(H177:I177)</f>
        <v>5</v>
      </c>
      <c r="H177" t="n">
        <v>5</v>
      </c>
      <c r="J177" t="n">
        <v>0</v>
      </c>
      <c r="K177" t="n">
        <v>14</v>
      </c>
      <c r="M177" s="3" t="n">
        <v>4</v>
      </c>
      <c r="N177" t="s">
        <v>30</v>
      </c>
      <c r="O177" t="s">
        <v>30</v>
      </c>
      <c r="P177" t="s">
        <v>119</v>
      </c>
      <c r="Q177" t="s">
        <v>120</v>
      </c>
      <c r="R177" t="s">
        <v>34</v>
      </c>
      <c r="S177" t="s">
        <v>34</v>
      </c>
      <c r="T177" t="s">
        <v>57</v>
      </c>
      <c r="U177" t="s">
        <v>121</v>
      </c>
      <c r="V177" t="s">
        <v>34</v>
      </c>
      <c r="W177" t="s">
        <v>104</v>
      </c>
      <c r="X177" t="n">
        <v>0</v>
      </c>
      <c r="Y177" t="s">
        <v>57</v>
      </c>
      <c r="AA177" s="17"/>
      <extLst>
        <ext uri="smNativeData">
          <pm:rowDef xmlns:pm="smNativeData" id="1749180287" r="177" hidden="0" collapsedDB="1" collapsedOL="0"/>
        </ext>
      </extLst>
    </row>
    <row r="178" spans="1:27" hidden="1">
      <c r="A178" s="16">
        <f>B178-DATE(2022,10,11)</f>
        <v>94</v>
      </c>
      <c r="B178" s="1" t="n">
        <v>44939</v>
      </c>
      <c r="C178" t="n">
        <v>6</v>
      </c>
      <c r="D178" t="s">
        <v>28</v>
      </c>
      <c r="E178" s="2" t="n">
        <v>18</v>
      </c>
      <c r="F178" t="n">
        <v>0</v>
      </c>
      <c r="G178" s="4">
        <f>SUM(H178:I178)</f>
        <v>5</v>
      </c>
      <c r="H178" t="n">
        <v>5</v>
      </c>
      <c r="J178" t="n">
        <v>0</v>
      </c>
      <c r="K178" t="n">
        <v>14</v>
      </c>
      <c r="M178" s="3" t="n">
        <v>4</v>
      </c>
      <c r="N178" t="s">
        <v>30</v>
      </c>
      <c r="O178" t="s">
        <v>30</v>
      </c>
      <c r="P178" t="s">
        <v>119</v>
      </c>
      <c r="Q178" t="s">
        <v>120</v>
      </c>
      <c r="R178" t="s">
        <v>34</v>
      </c>
      <c r="S178" t="s">
        <v>34</v>
      </c>
      <c r="T178" t="s">
        <v>57</v>
      </c>
      <c r="U178" t="s">
        <v>46</v>
      </c>
      <c r="V178" t="s">
        <v>34</v>
      </c>
      <c r="W178" t="s">
        <v>104</v>
      </c>
      <c r="X178" t="n">
        <v>0</v>
      </c>
      <c r="Y178" t="s">
        <v>57</v>
      </c>
      <c r="AA178" s="17"/>
      <extLst>
        <ext uri="smNativeData">
          <pm:rowDef xmlns:pm="smNativeData" id="1749180287" r="178" hidden="0" collapsedDB="1" collapsedOL="0"/>
        </ext>
      </extLst>
    </row>
    <row r="179" spans="1:27" hidden="1">
      <c r="A179" s="31">
        <f>B179-DATE(2022,10,11)</f>
        <v>94</v>
      </c>
      <c r="B179" s="32" t="n">
        <v>44939</v>
      </c>
      <c r="C179" s="33" t="n">
        <v>6</v>
      </c>
      <c r="D179" s="33" t="s">
        <v>28</v>
      </c>
      <c r="E179" s="5" t="n">
        <v>18</v>
      </c>
      <c r="F179" s="33" t="n">
        <v>0</v>
      </c>
      <c r="G179" s="6">
        <f>SUM(H179:I179)</f>
        <v>5</v>
      </c>
      <c r="H179" s="33" t="n">
        <v>5</v>
      </c>
      <c r="I179" s="33"/>
      <c r="J179" s="33" t="n">
        <v>0</v>
      </c>
      <c r="K179" s="33" t="n">
        <v>14</v>
      </c>
      <c r="L179" s="53"/>
      <c r="M179" s="50" t="n">
        <v>4</v>
      </c>
      <c r="N179" s="33" t="s">
        <v>30</v>
      </c>
      <c r="O179" s="33" t="s">
        <v>30</v>
      </c>
      <c r="P179" s="33" t="s">
        <v>119</v>
      </c>
      <c r="Q179" s="33" t="s">
        <v>120</v>
      </c>
      <c r="R179" s="33" t="s">
        <v>34</v>
      </c>
      <c r="S179" s="33" t="s">
        <v>34</v>
      </c>
      <c r="T179" s="33" t="s">
        <v>57</v>
      </c>
      <c r="U179" s="33" t="s">
        <v>34</v>
      </c>
      <c r="V179" s="33" t="s">
        <v>34</v>
      </c>
      <c r="W179" s="33" t="s">
        <v>33</v>
      </c>
      <c r="X179" s="33" t="n">
        <v>0</v>
      </c>
      <c r="Y179" s="33" t="s">
        <v>57</v>
      </c>
      <c r="Z179" s="33"/>
      <c r="AA179" s="34"/>
      <extLst>
        <ext uri="smNativeData">
          <pm:rowDef xmlns:pm="smNativeData" id="1749180287" r="179" hidden="0" collapsedDB="1" collapsedOL="0"/>
        </ext>
      </extLst>
    </row>
    <row r="180" spans="1:27" hidden="1">
      <c r="A180" s="31">
        <f>B180-DATE(2022,10,11)</f>
        <v>94</v>
      </c>
      <c r="B180" s="32" t="n">
        <v>44939</v>
      </c>
      <c r="C180" s="33" t="n">
        <v>6</v>
      </c>
      <c r="D180" s="33" t="s">
        <v>55</v>
      </c>
      <c r="E180" s="5" t="n">
        <v>19</v>
      </c>
      <c r="F180" s="33" t="n">
        <v>0</v>
      </c>
      <c r="G180" s="6">
        <f>SUM(H180:I180)</f>
        <v>8</v>
      </c>
      <c r="H180" s="33" t="n">
        <v>8</v>
      </c>
      <c r="I180" s="33"/>
      <c r="J180" s="33" t="n">
        <v>1</v>
      </c>
      <c r="K180" s="33" t="n">
        <v>1</v>
      </c>
      <c r="L180" s="53"/>
      <c r="M180" s="50" t="n">
        <v>1</v>
      </c>
      <c r="N180" s="33" t="s">
        <v>30</v>
      </c>
      <c r="O180" s="33" t="s">
        <v>30</v>
      </c>
      <c r="P180" s="33" t="s">
        <v>118</v>
      </c>
      <c r="Q180" s="33" t="s">
        <v>58</v>
      </c>
      <c r="R180" s="33" t="s">
        <v>122</v>
      </c>
      <c r="S180" s="33" t="s">
        <v>122</v>
      </c>
      <c r="T180" s="33" t="s">
        <v>122</v>
      </c>
      <c r="U180" s="33" t="s">
        <v>122</v>
      </c>
      <c r="V180" s="33" t="s">
        <v>40</v>
      </c>
      <c r="W180" s="33" t="s">
        <v>40</v>
      </c>
      <c r="X180" s="33"/>
      <c r="Y180" s="33" t="s">
        <v>40</v>
      </c>
      <c r="Z180" s="33"/>
      <c r="AA180" s="34"/>
      <extLst>
        <ext uri="smNativeData">
          <pm:rowDef xmlns:pm="smNativeData" id="1749180287" r="180" hidden="0" collapsedDB="1" collapsedOL="0"/>
        </ext>
      </extLst>
    </row>
    <row r="181" spans="1:27" hidden="1">
      <c r="A181" s="16">
        <f>B181-DATE(2022,10,11)</f>
        <v>94</v>
      </c>
      <c r="B181" s="1" t="n">
        <v>44939</v>
      </c>
      <c r="C181" t="n">
        <v>6</v>
      </c>
      <c r="D181" t="s">
        <v>63</v>
      </c>
      <c r="E181" s="2" t="n">
        <v>13</v>
      </c>
      <c r="F181" t="n">
        <v>0</v>
      </c>
      <c r="G181" s="4">
        <f>SUM(H181:I181)</f>
        <v>8</v>
      </c>
      <c r="H181" s="2" t="n">
        <v>8</v>
      </c>
      <c r="I181" s="2"/>
      <c r="J181" s="2" t="n">
        <v>0</v>
      </c>
      <c r="K181" s="2" t="n">
        <v>0</v>
      </c>
      <c r="L181" s="130"/>
      <c r="M181" s="3" t="n">
        <v>1</v>
      </c>
      <c r="N181" t="s">
        <v>30</v>
      </c>
      <c r="O181" t="s">
        <v>30</v>
      </c>
      <c r="P181" t="s">
        <v>123</v>
      </c>
      <c r="Q181" t="s">
        <v>58</v>
      </c>
      <c r="R181" t="s">
        <v>122</v>
      </c>
      <c r="S181" t="s">
        <v>122</v>
      </c>
      <c r="T181" t="s">
        <v>122</v>
      </c>
      <c r="U181" t="s">
        <v>122</v>
      </c>
      <c r="V181" t="s">
        <v>40</v>
      </c>
      <c r="W181" t="s">
        <v>40</v>
      </c>
      <c r="Y181" t="s">
        <v>40</v>
      </c>
      <c r="AA181" s="17"/>
      <extLst>
        <ext uri="smNativeData">
          <pm:rowDef xmlns:pm="smNativeData" id="1749180287" r="181" hidden="0" collapsedDB="1" collapsedOL="0"/>
        </ext>
      </extLst>
    </row>
    <row r="182" spans="1:27" hidden="1">
      <c r="A182" s="11">
        <f>B182-DATE(2022,10,11)</f>
        <v>98</v>
      </c>
      <c r="B182" s="12" t="n">
        <v>44943</v>
      </c>
      <c r="C182" s="13" t="n">
        <v>6</v>
      </c>
      <c r="D182" s="13" t="s">
        <v>49</v>
      </c>
      <c r="E182" s="14" t="n">
        <v>19</v>
      </c>
      <c r="F182" s="13" t="n">
        <v>0</v>
      </c>
      <c r="G182" s="58">
        <f>SUM(H182:I182)</f>
        <v>2</v>
      </c>
      <c r="H182" s="14" t="n">
        <v>2</v>
      </c>
      <c r="I182" s="14"/>
      <c r="J182" s="14" t="n">
        <v>0</v>
      </c>
      <c r="K182" s="14" t="n">
        <v>0</v>
      </c>
      <c r="L182" s="128" t="s">
        <v>124</v>
      </c>
      <c r="M182" s="49" t="n">
        <v>2</v>
      </c>
      <c r="N182" s="13" t="s">
        <v>30</v>
      </c>
      <c r="O182" s="13" t="s">
        <v>30</v>
      </c>
      <c r="P182" s="13" t="s">
        <v>125</v>
      </c>
      <c r="Q182" s="13" t="s">
        <v>58</v>
      </c>
      <c r="R182" s="13" t="s">
        <v>122</v>
      </c>
      <c r="S182" s="13" t="s">
        <v>122</v>
      </c>
      <c r="T182" s="13" t="s">
        <v>122</v>
      </c>
      <c r="U182" s="13" t="s">
        <v>122</v>
      </c>
      <c r="V182" s="13" t="s">
        <v>40</v>
      </c>
      <c r="W182" s="13" t="s">
        <v>40</v>
      </c>
      <c r="X182" s="13"/>
      <c r="Y182" s="13" t="s">
        <v>40</v>
      </c>
      <c r="Z182" s="13"/>
      <c r="AA182" s="15"/>
      <extLst>
        <ext uri="smNativeData">
          <pm:rowDef xmlns:pm="smNativeData" id="1749180287" r="182" hidden="0" collapsedDB="1" collapsedOL="0"/>
        </ext>
      </extLst>
    </row>
    <row r="183" spans="1:27" hidden="1">
      <c r="A183" s="31">
        <f>B183-DATE(2022,10,11)</f>
        <v>98</v>
      </c>
      <c r="B183" s="32" t="n">
        <v>44943</v>
      </c>
      <c r="C183" s="33" t="n">
        <v>6</v>
      </c>
      <c r="D183" s="33" t="s">
        <v>49</v>
      </c>
      <c r="E183" s="5" t="n">
        <v>19</v>
      </c>
      <c r="F183" s="33" t="n">
        <v>0</v>
      </c>
      <c r="G183" s="58">
        <f>SUM(H183:I183)</f>
        <v>2</v>
      </c>
      <c r="H183" s="5" t="n">
        <v>2</v>
      </c>
      <c r="I183" s="5"/>
      <c r="J183" s="5" t="n">
        <v>0</v>
      </c>
      <c r="K183" s="5" t="n">
        <v>0</v>
      </c>
      <c r="L183" s="129" t="s">
        <v>124</v>
      </c>
      <c r="M183" s="50" t="n">
        <v>2</v>
      </c>
      <c r="N183" s="33" t="s">
        <v>30</v>
      </c>
      <c r="O183" s="33" t="s">
        <v>30</v>
      </c>
      <c r="P183" s="33" t="s">
        <v>125</v>
      </c>
      <c r="Q183" s="33" t="s">
        <v>58</v>
      </c>
      <c r="R183" s="33" t="s">
        <v>122</v>
      </c>
      <c r="S183" s="33" t="s">
        <v>122</v>
      </c>
      <c r="T183" s="33" t="s">
        <v>122</v>
      </c>
      <c r="U183" s="33" t="s">
        <v>122</v>
      </c>
      <c r="V183" s="33" t="s">
        <v>40</v>
      </c>
      <c r="W183" s="33" t="s">
        <v>40</v>
      </c>
      <c r="X183" s="33"/>
      <c r="Y183" s="33" t="s">
        <v>40</v>
      </c>
      <c r="Z183" s="33"/>
      <c r="AA183" s="34"/>
      <extLst>
        <ext uri="smNativeData">
          <pm:rowDef xmlns:pm="smNativeData" id="1749180287" r="183" hidden="0" collapsedDB="1" collapsedOL="0"/>
        </ext>
      </extLst>
    </row>
    <row r="184" spans="1:28">
      <c r="A184" s="16">
        <f>B184-DATE(2022,10,11)</f>
        <v>98</v>
      </c>
      <c r="B184" s="1" t="n">
        <v>44943</v>
      </c>
      <c r="C184" t="n">
        <v>6</v>
      </c>
      <c r="D184" t="s">
        <v>55</v>
      </c>
      <c r="E184" s="2" t="n">
        <v>19</v>
      </c>
      <c r="F184" t="n">
        <v>0</v>
      </c>
      <c r="G184" s="4">
        <f>SUM(H184:I184)</f>
        <v>8</v>
      </c>
      <c r="H184" t="n">
        <v>8</v>
      </c>
      <c r="J184" t="n">
        <v>0</v>
      </c>
      <c r="K184" t="n">
        <v>1</v>
      </c>
      <c r="L184" s="25" t="s">
        <v>126</v>
      </c>
      <c r="M184" s="3" t="n">
        <v>1</v>
      </c>
      <c r="N184" t="s">
        <v>30</v>
      </c>
      <c r="O184" t="s">
        <v>30</v>
      </c>
      <c r="P184" t="s">
        <v>127</v>
      </c>
      <c r="Q184" t="s">
        <v>128</v>
      </c>
      <c r="U184" t="s">
        <v>40</v>
      </c>
      <c r="V184" t="s">
        <v>40</v>
      </c>
      <c r="W184" t="s">
        <v>40</v>
      </c>
      <c r="Y184" t="s">
        <v>40</v>
      </c>
      <c r="AA184" s="17" t="s">
        <v>116</v>
      </c>
      <c r="AB184" t="s">
        <v>31</v>
      </c>
    </row>
    <row r="185" spans="1:27" hidden="1">
      <c r="A185" s="11">
        <f>B185-DATE(2022,10,11)</f>
        <v>98</v>
      </c>
      <c r="B185" s="12" t="n">
        <v>44943</v>
      </c>
      <c r="C185" s="13" t="n">
        <v>6</v>
      </c>
      <c r="D185" s="13" t="s">
        <v>63</v>
      </c>
      <c r="E185" s="13" t="n">
        <v>13</v>
      </c>
      <c r="F185" s="13" t="n">
        <v>0</v>
      </c>
      <c r="G185" s="63">
        <f>SUM(H185:I185)</f>
        <v>8</v>
      </c>
      <c r="H185" s="13" t="n">
        <v>8</v>
      </c>
      <c r="I185" s="13"/>
      <c r="J185" s="13" t="n">
        <v>0</v>
      </c>
      <c r="K185" s="13" t="n">
        <v>2</v>
      </c>
      <c r="L185" s="26" t="s">
        <v>124</v>
      </c>
      <c r="M185" s="49" t="n">
        <v>2</v>
      </c>
      <c r="N185" s="13" t="s">
        <v>30</v>
      </c>
      <c r="O185" s="13" t="s">
        <v>30</v>
      </c>
      <c r="P185" s="13" t="s">
        <v>125</v>
      </c>
      <c r="Q185" s="13" t="s">
        <v>58</v>
      </c>
      <c r="R185" s="13" t="s">
        <v>122</v>
      </c>
      <c r="S185" s="13" t="s">
        <v>122</v>
      </c>
      <c r="T185" s="13" t="s">
        <v>122</v>
      </c>
      <c r="U185" s="13" t="s">
        <v>122</v>
      </c>
      <c r="V185" s="13" t="s">
        <v>40</v>
      </c>
      <c r="W185" s="13" t="s">
        <v>40</v>
      </c>
      <c r="X185" s="13"/>
      <c r="Y185" s="13" t="s">
        <v>40</v>
      </c>
      <c r="Z185" s="13"/>
      <c r="AA185" s="15"/>
      <extLst>
        <ext uri="smNativeData">
          <pm:rowDef xmlns:pm="smNativeData" id="1749180287" r="185" hidden="0" collapsedDB="1" collapsedOL="0"/>
        </ext>
      </extLst>
    </row>
    <row r="186" spans="1:27" hidden="1">
      <c r="A186" s="31">
        <f>B186-DATE(2022,10,11)</f>
        <v>98</v>
      </c>
      <c r="B186" s="32" t="n">
        <v>44943</v>
      </c>
      <c r="C186" s="33" t="n">
        <v>6</v>
      </c>
      <c r="D186" s="33" t="s">
        <v>63</v>
      </c>
      <c r="E186" s="33" t="n">
        <v>13</v>
      </c>
      <c r="F186" s="33" t="n">
        <v>0</v>
      </c>
      <c r="G186" s="6">
        <f>SUM(H186:I186)</f>
        <v>8</v>
      </c>
      <c r="H186" s="33" t="n">
        <v>8</v>
      </c>
      <c r="I186" s="33"/>
      <c r="J186" s="33" t="n">
        <v>0</v>
      </c>
      <c r="K186" s="33" t="n">
        <v>2</v>
      </c>
      <c r="L186" s="53" t="s">
        <v>124</v>
      </c>
      <c r="M186" s="50" t="n">
        <v>2</v>
      </c>
      <c r="N186" s="33" t="s">
        <v>30</v>
      </c>
      <c r="O186" s="33" t="s">
        <v>30</v>
      </c>
      <c r="P186" s="33" t="s">
        <v>125</v>
      </c>
      <c r="Q186" s="33" t="s">
        <v>58</v>
      </c>
      <c r="R186" s="33" t="s">
        <v>122</v>
      </c>
      <c r="S186" s="33" t="s">
        <v>122</v>
      </c>
      <c r="T186" s="33" t="s">
        <v>122</v>
      </c>
      <c r="U186" s="33" t="s">
        <v>122</v>
      </c>
      <c r="V186" s="33" t="s">
        <v>40</v>
      </c>
      <c r="W186" s="33" t="s">
        <v>40</v>
      </c>
      <c r="X186" s="33"/>
      <c r="Y186" s="33" t="s">
        <v>40</v>
      </c>
      <c r="Z186" s="33"/>
      <c r="AA186" s="34"/>
      <extLst>
        <ext uri="smNativeData">
          <pm:rowDef xmlns:pm="smNativeData" id="1749180287" r="186" hidden="0" collapsedDB="1" collapsedOL="0"/>
        </ext>
      </extLst>
    </row>
    <row r="187" spans="1:27" hidden="1">
      <c r="A187" s="31">
        <f>B187-DATE(2022,10,11)</f>
        <v>101</v>
      </c>
      <c r="B187" s="32" t="n">
        <v>44946</v>
      </c>
      <c r="C187" s="33" t="n">
        <v>6</v>
      </c>
      <c r="D187" s="33" t="s">
        <v>63</v>
      </c>
      <c r="E187" s="33" t="n">
        <v>13</v>
      </c>
      <c r="F187" s="33" t="n">
        <v>0</v>
      </c>
      <c r="G187" s="6">
        <f>SUM(H187:I187)</f>
        <v>8</v>
      </c>
      <c r="H187" s="33" t="n">
        <v>8</v>
      </c>
      <c r="I187" s="33"/>
      <c r="J187" s="33" t="n">
        <v>0</v>
      </c>
      <c r="K187" s="33" t="n">
        <v>8</v>
      </c>
      <c r="L187" s="53" t="s">
        <v>129</v>
      </c>
      <c r="M187" s="50" t="n">
        <v>1</v>
      </c>
      <c r="N187" s="33" t="s">
        <v>30</v>
      </c>
      <c r="O187" s="33" t="s">
        <v>30</v>
      </c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4"/>
      <extLst>
        <ext uri="smNativeData">
          <pm:rowDef xmlns:pm="smNativeData" id="1749180287" r="187" hidden="0" collapsedDB="1" collapsedOL="0"/>
        </ext>
      </extLst>
    </row>
    <row r="188" spans="1:28">
      <c r="A188" s="16">
        <f>B188-DATE(2022,10,11)</f>
        <v>106</v>
      </c>
      <c r="B188" s="1" t="n">
        <v>44951</v>
      </c>
      <c r="C188" t="n">
        <v>6</v>
      </c>
      <c r="D188" t="s">
        <v>28</v>
      </c>
      <c r="E188" t="n">
        <v>18</v>
      </c>
      <c r="F188" t="n">
        <v>0</v>
      </c>
      <c r="G188" s="4">
        <f>SUM(H188:I188)</f>
        <v>5</v>
      </c>
      <c r="H188" t="n">
        <v>5</v>
      </c>
      <c r="J188" t="n">
        <v>0</v>
      </c>
      <c r="K188" t="n">
        <v>1</v>
      </c>
      <c r="L188" s="25" t="s">
        <v>130</v>
      </c>
      <c r="M188" s="3" t="n">
        <v>1</v>
      </c>
      <c r="N188" t="s">
        <v>30</v>
      </c>
      <c r="O188" t="s">
        <v>30</v>
      </c>
      <c r="AA188" s="17" t="s">
        <v>116</v>
      </c>
      <c r="AB188" t="s">
        <v>31</v>
      </c>
    </row>
    <row r="189" spans="1:27" hidden="1">
      <c r="A189" s="11">
        <f>B189-DATE(2022,10,11)</f>
        <v>111</v>
      </c>
      <c r="B189" s="12" t="n">
        <v>44956</v>
      </c>
      <c r="C189" s="13" t="n">
        <v>6</v>
      </c>
      <c r="D189" s="13" t="s">
        <v>49</v>
      </c>
      <c r="E189" s="13" t="n">
        <v>18</v>
      </c>
      <c r="F189" s="13" t="n">
        <v>0</v>
      </c>
      <c r="G189" s="58">
        <f>SUM(H189:I189)</f>
        <v>1</v>
      </c>
      <c r="H189" s="13" t="n">
        <v>1</v>
      </c>
      <c r="I189" s="13"/>
      <c r="J189" s="14" t="n">
        <v>0</v>
      </c>
      <c r="K189" s="13" t="n">
        <v>0</v>
      </c>
      <c r="L189" s="26" t="s">
        <v>131</v>
      </c>
      <c r="M189" s="49" t="n">
        <v>5</v>
      </c>
      <c r="N189" s="13" t="s">
        <v>30</v>
      </c>
      <c r="O189" s="13" t="s">
        <v>30</v>
      </c>
      <c r="P189" s="13" t="s">
        <v>132</v>
      </c>
      <c r="Q189" s="13"/>
      <c r="R189" s="13"/>
      <c r="S189" s="13" t="s">
        <v>122</v>
      </c>
      <c r="T189" s="13"/>
      <c r="U189" s="13"/>
      <c r="V189" s="13" t="s">
        <v>40</v>
      </c>
      <c r="W189" s="13" t="s">
        <v>40</v>
      </c>
      <c r="X189" s="13" t="n">
        <v>0</v>
      </c>
      <c r="Y189" s="13" t="s">
        <v>40</v>
      </c>
      <c r="Z189" s="13"/>
      <c r="AA189" s="15"/>
      <extLst>
        <ext uri="smNativeData">
          <pm:rowDef xmlns:pm="smNativeData" id="1749180287" r="189" hidden="0" collapsedDB="1" collapsedOL="0"/>
        </ext>
      </extLst>
    </row>
    <row r="190" spans="1:27" hidden="1">
      <c r="A190" s="16">
        <f>B190-DATE(2022,10,11)</f>
        <v>111</v>
      </c>
      <c r="B190" s="1" t="n">
        <v>44956</v>
      </c>
      <c r="C190" t="n">
        <v>6</v>
      </c>
      <c r="D190" t="s">
        <v>49</v>
      </c>
      <c r="E190" t="n">
        <v>18</v>
      </c>
      <c r="F190" t="n">
        <v>0</v>
      </c>
      <c r="G190" s="58">
        <f>SUM(H190:I190)</f>
        <v>1</v>
      </c>
      <c r="H190" t="n">
        <v>1</v>
      </c>
      <c r="J190" s="2" t="n">
        <v>0</v>
      </c>
      <c r="K190" t="n">
        <v>0</v>
      </c>
      <c r="M190" s="3" t="n">
        <v>5</v>
      </c>
      <c r="N190" t="s">
        <v>30</v>
      </c>
      <c r="O190" t="s">
        <v>30</v>
      </c>
      <c r="P190" t="s">
        <v>132</v>
      </c>
      <c r="S190" t="s">
        <v>122</v>
      </c>
      <c r="V190" t="s">
        <v>40</v>
      </c>
      <c r="W190" t="s">
        <v>40</v>
      </c>
      <c r="X190" t="n">
        <v>0</v>
      </c>
      <c r="Y190" t="s">
        <v>40</v>
      </c>
      <c r="AA190" s="17"/>
      <extLst>
        <ext uri="smNativeData">
          <pm:rowDef xmlns:pm="smNativeData" id="1749180287" r="190" hidden="0" collapsedDB="1" collapsedOL="0"/>
        </ext>
      </extLst>
    </row>
    <row r="191" spans="1:27" hidden="1">
      <c r="A191" s="16">
        <f>B191-DATE(2022,10,11)</f>
        <v>111</v>
      </c>
      <c r="B191" s="1" t="n">
        <v>44956</v>
      </c>
      <c r="C191" t="n">
        <v>6</v>
      </c>
      <c r="D191" t="s">
        <v>49</v>
      </c>
      <c r="E191" t="n">
        <v>18</v>
      </c>
      <c r="F191" t="n">
        <v>0</v>
      </c>
      <c r="G191" s="58">
        <f>SUM(H191:I191)</f>
        <v>1</v>
      </c>
      <c r="H191" t="n">
        <v>1</v>
      </c>
      <c r="J191" s="2" t="n">
        <v>0</v>
      </c>
      <c r="K191" t="n">
        <v>0</v>
      </c>
      <c r="M191" s="3" t="n">
        <v>5</v>
      </c>
      <c r="N191" t="s">
        <v>30</v>
      </c>
      <c r="O191" t="s">
        <v>30</v>
      </c>
      <c r="P191" t="s">
        <v>132</v>
      </c>
      <c r="S191" t="s">
        <v>122</v>
      </c>
      <c r="V191" t="s">
        <v>40</v>
      </c>
      <c r="W191" t="s">
        <v>40</v>
      </c>
      <c r="X191" t="n">
        <v>0</v>
      </c>
      <c r="Y191" t="s">
        <v>40</v>
      </c>
      <c r="AA191" s="17"/>
      <extLst>
        <ext uri="smNativeData">
          <pm:rowDef xmlns:pm="smNativeData" id="1749180287" r="191" hidden="0" collapsedDB="1" collapsedOL="0"/>
        </ext>
      </extLst>
    </row>
    <row r="192" spans="1:27" hidden="1">
      <c r="A192" s="16">
        <f>B192-DATE(2022,10,11)</f>
        <v>111</v>
      </c>
      <c r="B192" s="1" t="n">
        <v>44956</v>
      </c>
      <c r="C192" t="n">
        <v>6</v>
      </c>
      <c r="D192" t="s">
        <v>49</v>
      </c>
      <c r="E192" t="n">
        <v>18</v>
      </c>
      <c r="F192" t="n">
        <v>0</v>
      </c>
      <c r="G192" s="58">
        <f>SUM(H192:I192)</f>
        <v>1</v>
      </c>
      <c r="H192" t="n">
        <v>1</v>
      </c>
      <c r="J192" s="2" t="n">
        <v>0</v>
      </c>
      <c r="K192" t="n">
        <v>0</v>
      </c>
      <c r="M192" s="3" t="n">
        <v>5</v>
      </c>
      <c r="N192" t="s">
        <v>30</v>
      </c>
      <c r="O192" t="s">
        <v>30</v>
      </c>
      <c r="P192" t="s">
        <v>132</v>
      </c>
      <c r="S192" t="s">
        <v>122</v>
      </c>
      <c r="V192" t="s">
        <v>40</v>
      </c>
      <c r="W192" t="s">
        <v>40</v>
      </c>
      <c r="X192" t="n">
        <v>0</v>
      </c>
      <c r="Y192" t="s">
        <v>40</v>
      </c>
      <c r="AA192" s="17"/>
      <extLst>
        <ext uri="smNativeData">
          <pm:rowDef xmlns:pm="smNativeData" id="1749180287" r="192" hidden="0" collapsedDB="1" collapsedOL="0"/>
        </ext>
      </extLst>
    </row>
    <row r="193" spans="1:27" hidden="1">
      <c r="A193" s="31">
        <f>B193-DATE(2022,10,11)</f>
        <v>111</v>
      </c>
      <c r="B193" s="32" t="n">
        <v>44956</v>
      </c>
      <c r="C193" s="33" t="n">
        <v>6</v>
      </c>
      <c r="D193" s="33" t="s">
        <v>49</v>
      </c>
      <c r="E193" s="33" t="n">
        <v>18</v>
      </c>
      <c r="F193" s="33" t="n">
        <v>0</v>
      </c>
      <c r="G193" s="58">
        <f>SUM(H193:I193)</f>
        <v>1</v>
      </c>
      <c r="H193" s="33" t="n">
        <v>1</v>
      </c>
      <c r="I193" s="33"/>
      <c r="J193" s="5" t="n">
        <v>0</v>
      </c>
      <c r="K193" s="33" t="n">
        <v>0</v>
      </c>
      <c r="L193" s="53"/>
      <c r="M193" s="50" t="n">
        <v>5</v>
      </c>
      <c r="N193" s="33" t="s">
        <v>30</v>
      </c>
      <c r="O193" s="33" t="s">
        <v>30</v>
      </c>
      <c r="P193" s="33" t="s">
        <v>132</v>
      </c>
      <c r="Q193" s="33"/>
      <c r="R193" s="33"/>
      <c r="S193" s="33" t="s">
        <v>122</v>
      </c>
      <c r="T193" s="33"/>
      <c r="U193" s="33"/>
      <c r="V193" s="33" t="s">
        <v>40</v>
      </c>
      <c r="W193" s="33" t="s">
        <v>40</v>
      </c>
      <c r="X193" s="33" t="n">
        <v>0</v>
      </c>
      <c r="Y193" s="33" t="s">
        <v>40</v>
      </c>
      <c r="Z193" s="33"/>
      <c r="AA193" s="34"/>
      <extLst>
        <ext uri="smNativeData">
          <pm:rowDef xmlns:pm="smNativeData" id="1749180287" r="193" hidden="0" collapsedDB="1" collapsedOL="0"/>
        </ext>
      </extLst>
    </row>
  </sheetData>
  <autoFilter ref="A1:AA193">
    <filterColumn colId="26">
      <filters>
        <filter val="S0"/>
        <filter val="S04"/>
        <filter val="S06"/>
        <filter val="S07"/>
        <filter val="S09"/>
        <filter val="S10"/>
        <filter val="S18"/>
        <filter val="S19"/>
        <filter val="S20"/>
        <filter val="S22"/>
        <filter val="S27"/>
      </filters>
    </filterColumn>
  </autoFilter>
  <mergeCells count="9">
    <mergeCell ref="U4:U6"/>
    <mergeCell ref="W4:W6"/>
    <mergeCell ref="L4:L25"/>
    <mergeCell ref="L36:L39"/>
    <mergeCell ref="L42:L53"/>
    <mergeCell ref="L67:L71"/>
    <mergeCell ref="L79:L88"/>
    <mergeCell ref="L94:L117"/>
    <mergeCell ref="L189:L193"/>
  </mergeCells>
  <printOptions>
    <extLst>
      <ext uri="smNativeData">
        <pm:pageFlags xmlns:pm="smNativeData" id="1749180287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49180287" l="56" r="56" t="56" b="56" borderId="0" fillId="0" vertical="0"/>
        <pm:footer xmlns:pm="smNativeData" id="1749180287" l="56" r="56" t="56" b="56" borderId="0" fillId="0" vertical="2"/>
      </ext>
    </extLst>
  </headerFooter>
  <extLst>
    <ext uri="smNativeData">
      <pm:sheetPrefs xmlns:pm="smNativeData" day="17491802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drozdovapb</cp:lastModifiedBy>
  <cp:revision>0</cp:revision>
  <dcterms:created xsi:type="dcterms:W3CDTF">2024-07-17T08:34:43Z</dcterms:created>
  <dcterms:modified xsi:type="dcterms:W3CDTF">2025-06-06T03:24:47Z</dcterms:modified>
</cp:coreProperties>
</file>